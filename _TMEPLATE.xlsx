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dpit-my.sharepoint.com/personal/michael_sdpinc_net/Documents/QC FORMS/"/>
    </mc:Choice>
  </mc:AlternateContent>
  <xr:revisionPtr revIDLastSave="40" documentId="8_{4FE5342E-7045-49B2-AF4B-1A6D0C0B810B}" xr6:coauthVersionLast="47" xr6:coauthVersionMax="47" xr10:uidLastSave="{370E6CE6-7026-1D41-B3D4-383B6AC06EA5}"/>
  <bookViews>
    <workbookView xWindow="0" yWindow="600" windowWidth="25600" windowHeight="16040" xr2:uid="{00000000-000D-0000-FFFF-FFFF00000000}"/>
  </bookViews>
  <sheets>
    <sheet name="QC Sheet" sheetId="1" r:id="rId1"/>
    <sheet name="Variable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9" i="2" l="1"/>
  <c r="A70" i="2" s="1"/>
  <c r="A64" i="2"/>
  <c r="A65" i="2" s="1"/>
  <c r="A66" i="2" s="1"/>
  <c r="A67" i="2" s="1"/>
  <c r="A68" i="2" s="1"/>
  <c r="A45" i="2"/>
  <c r="A46" i="2"/>
  <c r="A47" i="2"/>
  <c r="A48" i="2"/>
  <c r="A49" i="2"/>
  <c r="A50" i="2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S20" i="1"/>
  <c r="U20" i="1" s="1"/>
  <c r="R17" i="1"/>
  <c r="S17" i="1" s="1"/>
  <c r="Y17" i="1" s="1"/>
  <c r="R19" i="1"/>
  <c r="S19" i="1" s="1"/>
  <c r="U19" i="1" s="1"/>
  <c r="S26" i="1"/>
  <c r="Y26" i="1" s="1"/>
  <c r="S25" i="1"/>
  <c r="U25" i="1" s="1"/>
  <c r="S24" i="1"/>
  <c r="Y24" i="1" s="1"/>
  <c r="S23" i="1"/>
  <c r="U23" i="1" s="1"/>
  <c r="S22" i="1"/>
  <c r="Y22" i="1" s="1"/>
  <c r="S21" i="1"/>
  <c r="U21" i="1" s="1"/>
  <c r="H10" i="1"/>
  <c r="H9" i="1"/>
  <c r="H8" i="1"/>
  <c r="T24" i="1" l="1"/>
  <c r="Y23" i="1"/>
  <c r="V22" i="1"/>
  <c r="V25" i="1"/>
  <c r="X24" i="1"/>
  <c r="X22" i="1"/>
  <c r="W22" i="1"/>
  <c r="W24" i="1"/>
  <c r="U22" i="1"/>
  <c r="T22" i="1"/>
  <c r="Y25" i="1"/>
  <c r="U24" i="1"/>
  <c r="U26" i="1"/>
  <c r="T26" i="1"/>
  <c r="V24" i="1"/>
  <c r="X26" i="1"/>
  <c r="W26" i="1"/>
  <c r="V26" i="1"/>
  <c r="Y21" i="1"/>
  <c r="X25" i="1"/>
  <c r="X23" i="1"/>
  <c r="X21" i="1"/>
  <c r="W25" i="1"/>
  <c r="W23" i="1"/>
  <c r="W21" i="1"/>
  <c r="T25" i="1"/>
  <c r="T23" i="1"/>
  <c r="T21" i="1"/>
  <c r="V23" i="1"/>
  <c r="V21" i="1"/>
  <c r="V20" i="1"/>
  <c r="Y20" i="1"/>
  <c r="X20" i="1"/>
  <c r="W20" i="1"/>
  <c r="T20" i="1"/>
  <c r="V19" i="1"/>
  <c r="Y19" i="1"/>
  <c r="W19" i="1"/>
  <c r="T19" i="1"/>
  <c r="X19" i="1"/>
  <c r="U17" i="1"/>
  <c r="T17" i="1"/>
  <c r="V17" i="1"/>
  <c r="W17" i="1"/>
  <c r="X17" i="1"/>
  <c r="R26" i="1" l="1"/>
  <c r="R25" i="1"/>
  <c r="R24" i="1"/>
  <c r="R23" i="1"/>
  <c r="R22" i="1"/>
  <c r="R21" i="1"/>
  <c r="R20" i="1"/>
  <c r="R18" i="1"/>
  <c r="S18" i="1" s="1"/>
  <c r="J45" i="1"/>
  <c r="M45" i="1"/>
  <c r="O45" i="1"/>
  <c r="N8" i="1"/>
  <c r="S10" i="1"/>
  <c r="S11" i="1"/>
  <c r="S12" i="1"/>
  <c r="D75" i="1"/>
  <c r="D69" i="1"/>
  <c r="D63" i="1"/>
  <c r="D57" i="1"/>
  <c r="D51" i="1"/>
  <c r="D53" i="1"/>
  <c r="D77" i="1"/>
  <c r="D71" i="1"/>
  <c r="D65" i="1"/>
  <c r="D59" i="1"/>
  <c r="N9" i="1"/>
  <c r="P9" i="1" s="1"/>
  <c r="N10" i="1"/>
  <c r="P10" i="1" s="1"/>
  <c r="H11" i="1"/>
  <c r="N11" i="1" s="1"/>
  <c r="P11" i="1" s="1"/>
  <c r="H12" i="1"/>
  <c r="N12" i="1" s="1"/>
  <c r="P12" i="1" s="1"/>
  <c r="H13" i="1"/>
  <c r="N13" i="1" s="1"/>
  <c r="P13" i="1" s="1"/>
  <c r="H14" i="1"/>
  <c r="N14" i="1" s="1"/>
  <c r="P14" i="1" s="1"/>
  <c r="H15" i="1"/>
  <c r="N15" i="1" s="1"/>
  <c r="P15" i="1" s="1"/>
  <c r="H16" i="1"/>
  <c r="N16" i="1" s="1"/>
  <c r="P16" i="1" s="1"/>
  <c r="H17" i="1"/>
  <c r="N17" i="1" s="1"/>
  <c r="P17" i="1" s="1"/>
  <c r="H18" i="1"/>
  <c r="N18" i="1" s="1"/>
  <c r="P18" i="1" s="1"/>
  <c r="H19" i="1"/>
  <c r="N19" i="1" s="1"/>
  <c r="P19" i="1" s="1"/>
  <c r="H20" i="1"/>
  <c r="N20" i="1" s="1"/>
  <c r="P20" i="1" s="1"/>
  <c r="H21" i="1"/>
  <c r="N21" i="1" s="1"/>
  <c r="P21" i="1" s="1"/>
  <c r="H22" i="1"/>
  <c r="N22" i="1" s="1"/>
  <c r="P22" i="1" s="1"/>
  <c r="H23" i="1"/>
  <c r="N23" i="1" s="1"/>
  <c r="P23" i="1" s="1"/>
  <c r="H24" i="1"/>
  <c r="N24" i="1" s="1"/>
  <c r="P24" i="1" s="1"/>
  <c r="H25" i="1"/>
  <c r="N25" i="1" s="1"/>
  <c r="P25" i="1" s="1"/>
  <c r="H26" i="1"/>
  <c r="N26" i="1" s="1"/>
  <c r="P26" i="1" s="1"/>
  <c r="H27" i="1"/>
  <c r="N27" i="1" s="1"/>
  <c r="P27" i="1" s="1"/>
  <c r="H28" i="1"/>
  <c r="N28" i="1" s="1"/>
  <c r="P28" i="1" s="1"/>
  <c r="H29" i="1"/>
  <c r="N29" i="1" s="1"/>
  <c r="P29" i="1" s="1"/>
  <c r="H30" i="1"/>
  <c r="N30" i="1" s="1"/>
  <c r="P30" i="1" s="1"/>
  <c r="H31" i="1"/>
  <c r="N31" i="1" s="1"/>
  <c r="P31" i="1" s="1"/>
  <c r="H32" i="1"/>
  <c r="N32" i="1" s="1"/>
  <c r="P32" i="1" s="1"/>
  <c r="H33" i="1"/>
  <c r="N33" i="1" s="1"/>
  <c r="P33" i="1" s="1"/>
  <c r="H34" i="1"/>
  <c r="N34" i="1" s="1"/>
  <c r="P34" i="1" s="1"/>
  <c r="H35" i="1"/>
  <c r="N35" i="1" s="1"/>
  <c r="P35" i="1" s="1"/>
  <c r="H36" i="1"/>
  <c r="N36" i="1" s="1"/>
  <c r="P36" i="1" s="1"/>
  <c r="H37" i="1"/>
  <c r="N37" i="1" s="1"/>
  <c r="P37" i="1" s="1"/>
  <c r="H38" i="1"/>
  <c r="N38" i="1" s="1"/>
  <c r="P38" i="1" s="1"/>
  <c r="H39" i="1"/>
  <c r="N39" i="1" s="1"/>
  <c r="P39" i="1" s="1"/>
  <c r="H40" i="1"/>
  <c r="N40" i="1" s="1"/>
  <c r="P40" i="1" s="1"/>
  <c r="H41" i="1"/>
  <c r="N41" i="1" s="1"/>
  <c r="P41" i="1" s="1"/>
  <c r="H42" i="1"/>
  <c r="N42" i="1" s="1"/>
  <c r="P42" i="1" s="1"/>
  <c r="H43" i="1"/>
  <c r="N43" i="1" s="1"/>
  <c r="P43" i="1" s="1"/>
  <c r="H44" i="1"/>
  <c r="N44" i="1" s="1"/>
  <c r="P44" i="1" s="1"/>
  <c r="H7" i="1"/>
  <c r="N7" i="1" s="1"/>
  <c r="P7" i="1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T18" i="1" l="1"/>
  <c r="T27" i="1" s="1"/>
  <c r="S27" i="1"/>
  <c r="V18" i="1"/>
  <c r="V27" i="1" s="1"/>
  <c r="X18" i="1"/>
  <c r="X27" i="1" s="1"/>
  <c r="W18" i="1"/>
  <c r="W27" i="1" s="1"/>
  <c r="Y18" i="1"/>
  <c r="Y27" i="1" s="1"/>
  <c r="U18" i="1"/>
  <c r="U27" i="1" s="1"/>
  <c r="S9" i="1"/>
  <c r="S8" i="1"/>
  <c r="H45" i="1"/>
  <c r="N45" i="1"/>
  <c r="S7" i="1"/>
  <c r="P8" i="1"/>
  <c r="P45" i="1" s="1"/>
  <c r="S13" i="1" l="1"/>
</calcChain>
</file>

<file path=xl/sharedStrings.xml><?xml version="1.0" encoding="utf-8"?>
<sst xmlns="http://schemas.openxmlformats.org/spreadsheetml/2006/main" count="137" uniqueCount="90">
  <si>
    <t>OPERATOR</t>
  </si>
  <si>
    <t>PART NAME</t>
  </si>
  <si>
    <t>START</t>
  </si>
  <si>
    <t>PROCESS TIME (minutes)</t>
  </si>
  <si>
    <t>FINISH</t>
  </si>
  <si>
    <t>MATERIAL</t>
  </si>
  <si>
    <t>TOTAL PARTS</t>
  </si>
  <si>
    <t>% of Productive Time</t>
  </si>
  <si>
    <t>QM Check</t>
  </si>
  <si>
    <t>QC1</t>
  </si>
  <si>
    <t>QC2</t>
  </si>
  <si>
    <t>QC3</t>
  </si>
  <si>
    <t>QC4</t>
  </si>
  <si>
    <t>QC5</t>
  </si>
  <si>
    <t>QC6</t>
  </si>
  <si>
    <t>QC7</t>
  </si>
  <si>
    <t>QC8</t>
  </si>
  <si>
    <t>QC9</t>
  </si>
  <si>
    <t>QC10</t>
  </si>
  <si>
    <t>Part Name</t>
  </si>
  <si>
    <t>Lot Size</t>
  </si>
  <si>
    <t>Operator</t>
  </si>
  <si>
    <t>L</t>
  </si>
  <si>
    <t>W</t>
  </si>
  <si>
    <t>H</t>
  </si>
  <si>
    <t>Time</t>
  </si>
  <si>
    <t>DEPARTMENT</t>
  </si>
  <si>
    <t>Department</t>
  </si>
  <si>
    <t>Routers</t>
  </si>
  <si>
    <t>Saws</t>
  </si>
  <si>
    <t>Press</t>
  </si>
  <si>
    <t>Assembly</t>
  </si>
  <si>
    <t>Milling</t>
  </si>
  <si>
    <t>Waterjets</t>
  </si>
  <si>
    <t>David</t>
  </si>
  <si>
    <t>Operators</t>
  </si>
  <si>
    <t>Filiberto</t>
  </si>
  <si>
    <t>Zulema</t>
  </si>
  <si>
    <t>Bernardino</t>
  </si>
  <si>
    <t>Evelyn</t>
  </si>
  <si>
    <t>Carolina</t>
  </si>
  <si>
    <t>Jeff</t>
  </si>
  <si>
    <t>Rut</t>
  </si>
  <si>
    <t>TOTAL TIME (MINUTES)</t>
  </si>
  <si>
    <t>Manual</t>
  </si>
  <si>
    <t>Dropdown</t>
  </si>
  <si>
    <t>Formula</t>
  </si>
  <si>
    <t>Part #1</t>
  </si>
  <si>
    <t>Part #2</t>
  </si>
  <si>
    <t>Part #3</t>
  </si>
  <si>
    <t>Part #4</t>
  </si>
  <si>
    <t>Part #5</t>
  </si>
  <si>
    <t>Part #6</t>
  </si>
  <si>
    <t>Part #7</t>
  </si>
  <si>
    <t>Part #8</t>
  </si>
  <si>
    <t>Part #9</t>
  </si>
  <si>
    <t>Part #10</t>
  </si>
  <si>
    <t>Enter Part Names</t>
  </si>
  <si>
    <r>
      <t xml:space="preserve">DATE (mm/dd/yyyy) </t>
    </r>
    <r>
      <rPr>
        <b/>
        <sz val="11"/>
        <color rgb="FFFF0000"/>
        <rFont val="Aptos Narrow"/>
        <family val="2"/>
        <scheme val="minor"/>
      </rPr>
      <t>CTRL</t>
    </r>
    <r>
      <rPr>
        <b/>
        <sz val="11"/>
        <color theme="1"/>
        <rFont val="Aptos Narrow"/>
        <family val="2"/>
        <scheme val="minor"/>
      </rPr>
      <t xml:space="preserve"> + </t>
    </r>
    <r>
      <rPr>
        <b/>
        <sz val="11"/>
        <color rgb="FFFF0000"/>
        <rFont val="Aptos Narrow"/>
        <family val="2"/>
        <scheme val="minor"/>
      </rPr>
      <t>;</t>
    </r>
  </si>
  <si>
    <t>Notes</t>
  </si>
  <si>
    <t>Date</t>
  </si>
  <si>
    <t>Michael</t>
  </si>
  <si>
    <t>Eric</t>
  </si>
  <si>
    <t>Zach</t>
  </si>
  <si>
    <t>Part Qty.</t>
  </si>
  <si>
    <t>Total Time (Minutes)</t>
  </si>
  <si>
    <t>Parts</t>
  </si>
  <si>
    <t>Marissa</t>
  </si>
  <si>
    <t>Soft Foam</t>
  </si>
  <si>
    <t>Laser</t>
  </si>
  <si>
    <t>Joe</t>
  </si>
  <si>
    <t>Primary Department</t>
  </si>
  <si>
    <t>Total Parts Cut</t>
  </si>
  <si>
    <t>YIELD</t>
  </si>
  <si>
    <t>MATERIAL SIZE</t>
  </si>
  <si>
    <t>IDEAL PPM</t>
  </si>
  <si>
    <t>ACTUAL PPM</t>
  </si>
  <si>
    <t>QC REJECTED PARTS</t>
  </si>
  <si>
    <t>Primary Departments</t>
  </si>
  <si>
    <t>Caleb</t>
  </si>
  <si>
    <t>Gary</t>
  </si>
  <si>
    <t>Jesus</t>
  </si>
  <si>
    <t>Lisandro</t>
  </si>
  <si>
    <t>Temp</t>
  </si>
  <si>
    <t>Juana</t>
  </si>
  <si>
    <t>Heather</t>
  </si>
  <si>
    <t>Heidi</t>
  </si>
  <si>
    <t>Zeferino</t>
  </si>
  <si>
    <t>Andrea</t>
  </si>
  <si>
    <t>Ondrey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</si>
</sst>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2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b/>
      <sz val="10"/>
      <color theme="1"/>
      <name val="Segoe UI"/>
      <family val="2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 tint="0.24997711111789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1" tint="0.499984740745262"/>
        <bgColor indexed="64"/>
      </patternFill>
    </fill>
  </fills>
  <borders count="6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505050"/>
      </bottom>
      <diagonal/>
    </border>
    <border>
      <left/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thin">
        <color rgb="FF505050"/>
      </bottom>
      <diagonal/>
    </border>
    <border>
      <left style="medium">
        <color rgb="FF00000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indexed="64"/>
      </right>
      <top style="thin">
        <color rgb="FF505050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505050"/>
      </bottom>
      <diagonal/>
    </border>
    <border>
      <left style="medium">
        <color indexed="64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indexed="64"/>
      </right>
      <top style="thin">
        <color rgb="FF505050"/>
      </top>
      <bottom/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3" borderId="0" xfId="0" applyFill="1"/>
    <xf numFmtId="0" fontId="0" fillId="0" borderId="8" xfId="0" applyBorder="1"/>
    <xf numFmtId="0" fontId="0" fillId="0" borderId="11" xfId="0" applyBorder="1"/>
    <xf numFmtId="18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left"/>
    </xf>
    <xf numFmtId="0" fontId="11" fillId="3" borderId="1" xfId="0" applyFont="1" applyFill="1" applyBorder="1" applyAlignment="1">
      <alignment horizontal="center" wrapText="1"/>
    </xf>
    <xf numFmtId="0" fontId="11" fillId="3" borderId="14" xfId="0" applyFont="1" applyFill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3" fillId="11" borderId="6" xfId="0" applyFont="1" applyFill="1" applyBorder="1" applyAlignment="1">
      <alignment horizontal="center" wrapText="1"/>
    </xf>
    <xf numFmtId="0" fontId="3" fillId="9" borderId="6" xfId="0" applyFont="1" applyFill="1" applyBorder="1" applyAlignment="1">
      <alignment horizontal="center" wrapText="1"/>
    </xf>
    <xf numFmtId="0" fontId="3" fillId="9" borderId="8" xfId="0" applyFont="1" applyFill="1" applyBorder="1" applyAlignment="1">
      <alignment horizontal="center" wrapText="1"/>
    </xf>
    <xf numFmtId="0" fontId="4" fillId="12" borderId="24" xfId="0" applyFont="1" applyFill="1" applyBorder="1" applyAlignment="1">
      <alignment horizontal="center" wrapText="1"/>
    </xf>
    <xf numFmtId="0" fontId="11" fillId="3" borderId="4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/>
    </xf>
    <xf numFmtId="0" fontId="0" fillId="3" borderId="23" xfId="0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wrapText="1"/>
    </xf>
    <xf numFmtId="0" fontId="3" fillId="9" borderId="25" xfId="0" applyFont="1" applyFill="1" applyBorder="1" applyAlignment="1">
      <alignment horizontal="center" wrapText="1"/>
    </xf>
    <xf numFmtId="14" fontId="0" fillId="0" borderId="26" xfId="0" applyNumberFormat="1" applyBorder="1" applyAlignment="1">
      <alignment horizontal="center"/>
    </xf>
    <xf numFmtId="16" fontId="0" fillId="0" borderId="26" xfId="0" applyNumberFormat="1" applyBorder="1" applyAlignment="1">
      <alignment horizontal="center"/>
    </xf>
    <xf numFmtId="14" fontId="0" fillId="0" borderId="25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28" xfId="0" applyBorder="1" applyAlignment="1">
      <alignment horizontal="left"/>
    </xf>
    <xf numFmtId="0" fontId="3" fillId="11" borderId="26" xfId="0" applyFont="1" applyFill="1" applyBorder="1" applyAlignment="1">
      <alignment horizontal="center" wrapText="1"/>
    </xf>
    <xf numFmtId="18" fontId="0" fillId="0" borderId="26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0" fillId="0" borderId="29" xfId="0" applyBorder="1" applyAlignment="1">
      <alignment horizontal="left"/>
    </xf>
    <xf numFmtId="0" fontId="3" fillId="9" borderId="21" xfId="0" applyFont="1" applyFill="1" applyBorder="1" applyAlignment="1">
      <alignment horizontal="center" wrapText="1"/>
    </xf>
    <xf numFmtId="0" fontId="7" fillId="11" borderId="21" xfId="0" applyFont="1" applyFill="1" applyBorder="1" applyAlignment="1">
      <alignment horizontal="center" wrapText="1"/>
    </xf>
    <xf numFmtId="18" fontId="0" fillId="0" borderId="21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0" fontId="3" fillId="9" borderId="7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0" fontId="3" fillId="10" borderId="21" xfId="0" applyFont="1" applyFill="1" applyBorder="1" applyAlignment="1">
      <alignment horizontal="center" wrapText="1"/>
    </xf>
    <xf numFmtId="0" fontId="0" fillId="10" borderId="21" xfId="0" applyFill="1" applyBorder="1" applyAlignment="1">
      <alignment horizontal="center" wrapText="1"/>
    </xf>
    <xf numFmtId="0" fontId="3" fillId="9" borderId="26" xfId="0" applyFont="1" applyFill="1" applyBorder="1" applyAlignment="1">
      <alignment horizontal="center" wrapText="1"/>
    </xf>
    <xf numFmtId="0" fontId="0" fillId="0" borderId="30" xfId="0" applyBorder="1"/>
    <xf numFmtId="0" fontId="4" fillId="12" borderId="31" xfId="0" applyFont="1" applyFill="1" applyBorder="1" applyAlignment="1">
      <alignment horizontal="center" wrapText="1"/>
    </xf>
    <xf numFmtId="2" fontId="2" fillId="12" borderId="32" xfId="0" applyNumberFormat="1" applyFont="1" applyFill="1" applyBorder="1" applyAlignment="1">
      <alignment horizontal="center"/>
    </xf>
    <xf numFmtId="0" fontId="4" fillId="9" borderId="31" xfId="0" applyFont="1" applyFill="1" applyBorder="1" applyAlignment="1">
      <alignment horizontal="center" wrapText="1"/>
    </xf>
    <xf numFmtId="2" fontId="2" fillId="13" borderId="32" xfId="0" applyNumberFormat="1" applyFont="1" applyFill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0" fontId="5" fillId="16" borderId="3" xfId="0" applyNumberFormat="1" applyFont="1" applyFill="1" applyBorder="1" applyAlignment="1">
      <alignment horizontal="center"/>
    </xf>
    <xf numFmtId="10" fontId="6" fillId="16" borderId="3" xfId="0" applyNumberFormat="1" applyFont="1" applyFill="1" applyBorder="1" applyAlignment="1">
      <alignment horizontal="center"/>
    </xf>
    <xf numFmtId="0" fontId="1" fillId="0" borderId="41" xfId="0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1" fillId="0" borderId="44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39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53" xfId="0" applyFont="1" applyBorder="1" applyAlignment="1">
      <alignment horizontal="left"/>
    </xf>
    <xf numFmtId="0" fontId="2" fillId="8" borderId="40" xfId="0" applyFont="1" applyFill="1" applyBorder="1" applyAlignment="1">
      <alignment horizontal="center"/>
    </xf>
    <xf numFmtId="0" fontId="2" fillId="8" borderId="27" xfId="0" applyFont="1" applyFill="1" applyBorder="1" applyAlignment="1">
      <alignment horizontal="center"/>
    </xf>
    <xf numFmtId="0" fontId="2" fillId="8" borderId="20" xfId="0" applyFont="1" applyFill="1" applyBorder="1" applyAlignment="1">
      <alignment horizontal="center"/>
    </xf>
    <xf numFmtId="0" fontId="2" fillId="8" borderId="50" xfId="0" applyFont="1" applyFill="1" applyBorder="1" applyAlignment="1">
      <alignment horizontal="center"/>
    </xf>
    <xf numFmtId="14" fontId="1" fillId="13" borderId="41" xfId="0" applyNumberFormat="1" applyFont="1" applyFill="1" applyBorder="1" applyAlignment="1">
      <alignment horizontal="left"/>
    </xf>
    <xf numFmtId="14" fontId="1" fillId="13" borderId="51" xfId="0" applyNumberFormat="1" applyFont="1" applyFill="1" applyBorder="1" applyAlignment="1">
      <alignment horizontal="center"/>
    </xf>
    <xf numFmtId="18" fontId="0" fillId="13" borderId="25" xfId="0" applyNumberFormat="1" applyFill="1" applyBorder="1" applyAlignment="1">
      <alignment horizontal="center"/>
    </xf>
    <xf numFmtId="18" fontId="0" fillId="13" borderId="26" xfId="0" applyNumberFormat="1" applyFill="1" applyBorder="1" applyAlignment="1">
      <alignment horizontal="center"/>
    </xf>
    <xf numFmtId="18" fontId="0" fillId="13" borderId="51" xfId="0" applyNumberFormat="1" applyFill="1" applyBorder="1" applyAlignment="1">
      <alignment horizontal="center"/>
    </xf>
    <xf numFmtId="14" fontId="1" fillId="13" borderId="37" xfId="0" applyNumberFormat="1" applyFont="1" applyFill="1" applyBorder="1" applyAlignment="1">
      <alignment horizontal="center"/>
    </xf>
    <xf numFmtId="14" fontId="1" fillId="13" borderId="35" xfId="0" applyNumberFormat="1" applyFont="1" applyFill="1" applyBorder="1" applyAlignment="1">
      <alignment horizontal="center"/>
    </xf>
    <xf numFmtId="0" fontId="1" fillId="13" borderId="44" xfId="0" applyFont="1" applyFill="1" applyBorder="1" applyAlignment="1">
      <alignment horizontal="left"/>
    </xf>
    <xf numFmtId="0" fontId="1" fillId="13" borderId="54" xfId="0" applyFont="1" applyFill="1" applyBorder="1" applyAlignment="1">
      <alignment horizontal="left"/>
    </xf>
    <xf numFmtId="0" fontId="1" fillId="13" borderId="43" xfId="0" applyFont="1" applyFill="1" applyBorder="1" applyAlignment="1">
      <alignment horizontal="left"/>
    </xf>
    <xf numFmtId="0" fontId="1" fillId="13" borderId="53" xfId="0" applyFont="1" applyFill="1" applyBorder="1" applyAlignment="1">
      <alignment horizontal="left"/>
    </xf>
    <xf numFmtId="0" fontId="1" fillId="13" borderId="42" xfId="0" applyFont="1" applyFill="1" applyBorder="1" applyAlignment="1">
      <alignment horizontal="left"/>
    </xf>
    <xf numFmtId="0" fontId="1" fillId="13" borderId="52" xfId="0" applyFont="1" applyFill="1" applyBorder="1" applyAlignment="1">
      <alignment horizontal="left"/>
    </xf>
    <xf numFmtId="0" fontId="7" fillId="5" borderId="46" xfId="0" applyFont="1" applyFill="1" applyBorder="1" applyAlignment="1">
      <alignment horizontal="center"/>
    </xf>
    <xf numFmtId="0" fontId="7" fillId="14" borderId="45" xfId="0" applyFont="1" applyFill="1" applyBorder="1" applyAlignment="1">
      <alignment horizontal="center"/>
    </xf>
    <xf numFmtId="0" fontId="7" fillId="14" borderId="26" xfId="0" applyFont="1" applyFill="1" applyBorder="1" applyAlignment="1">
      <alignment horizontal="center"/>
    </xf>
    <xf numFmtId="0" fontId="7" fillId="14" borderId="18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left"/>
    </xf>
    <xf numFmtId="0" fontId="1" fillId="13" borderId="39" xfId="0" applyFont="1" applyFill="1" applyBorder="1" applyAlignment="1">
      <alignment horizontal="left"/>
    </xf>
    <xf numFmtId="0" fontId="1" fillId="13" borderId="38" xfId="0" applyFont="1" applyFill="1" applyBorder="1" applyAlignment="1">
      <alignment horizontal="left"/>
    </xf>
    <xf numFmtId="1" fontId="0" fillId="0" borderId="0" xfId="0" applyNumberFormat="1"/>
    <xf numFmtId="0" fontId="4" fillId="0" borderId="47" xfId="0" applyFont="1" applyBorder="1" applyAlignment="1">
      <alignment horizontal="center"/>
    </xf>
    <xf numFmtId="0" fontId="20" fillId="17" borderId="12" xfId="0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2" fontId="2" fillId="12" borderId="58" xfId="0" applyNumberFormat="1" applyFont="1" applyFill="1" applyBorder="1" applyAlignment="1">
      <alignment horizontal="center"/>
    </xf>
    <xf numFmtId="2" fontId="2" fillId="13" borderId="58" xfId="0" applyNumberFormat="1" applyFont="1" applyFill="1" applyBorder="1" applyAlignment="1">
      <alignment horizontal="center"/>
    </xf>
    <xf numFmtId="14" fontId="0" fillId="0" borderId="59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164" fontId="0" fillId="0" borderId="59" xfId="0" applyNumberFormat="1" applyBorder="1" applyAlignment="1">
      <alignment horizontal="center"/>
    </xf>
    <xf numFmtId="0" fontId="1" fillId="0" borderId="22" xfId="0" applyFont="1" applyBorder="1" applyAlignment="1">
      <alignment horizontal="left"/>
    </xf>
    <xf numFmtId="164" fontId="0" fillId="0" borderId="22" xfId="0" applyNumberFormat="1" applyBorder="1" applyAlignment="1">
      <alignment horizontal="center"/>
    </xf>
    <xf numFmtId="0" fontId="0" fillId="10" borderId="22" xfId="0" applyFill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0" fillId="0" borderId="60" xfId="0" applyBorder="1"/>
    <xf numFmtId="10" fontId="6" fillId="16" borderId="16" xfId="0" applyNumberFormat="1" applyFont="1" applyFill="1" applyBorder="1" applyAlignment="1">
      <alignment horizontal="center"/>
    </xf>
    <xf numFmtId="14" fontId="0" fillId="3" borderId="61" xfId="0" applyNumberFormat="1" applyFill="1" applyBorder="1" applyAlignment="1">
      <alignment horizontal="center"/>
    </xf>
    <xf numFmtId="14" fontId="0" fillId="3" borderId="62" xfId="0" applyNumberFormat="1" applyFill="1" applyBorder="1" applyAlignment="1">
      <alignment horizontal="center"/>
    </xf>
    <xf numFmtId="0" fontId="0" fillId="3" borderId="62" xfId="0" applyFill="1" applyBorder="1" applyAlignment="1">
      <alignment horizontal="center"/>
    </xf>
    <xf numFmtId="0" fontId="0" fillId="3" borderId="63" xfId="0" applyFill="1" applyBorder="1" applyAlignment="1">
      <alignment horizontal="center" vertical="center"/>
    </xf>
    <xf numFmtId="164" fontId="0" fillId="3" borderId="61" xfId="0" applyNumberFormat="1" applyFill="1" applyBorder="1" applyAlignment="1">
      <alignment horizontal="center"/>
    </xf>
    <xf numFmtId="0" fontId="1" fillId="3" borderId="64" xfId="0" applyFont="1" applyFill="1" applyBorder="1" applyAlignment="1">
      <alignment horizontal="left"/>
    </xf>
    <xf numFmtId="164" fontId="0" fillId="3" borderId="64" xfId="0" applyNumberFormat="1" applyFill="1" applyBorder="1" applyAlignment="1">
      <alignment horizontal="center"/>
    </xf>
    <xf numFmtId="0" fontId="9" fillId="10" borderId="64" xfId="0" applyFont="1" applyFill="1" applyBorder="1" applyAlignment="1">
      <alignment horizontal="center" wrapText="1"/>
    </xf>
    <xf numFmtId="0" fontId="16" fillId="3" borderId="18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2" fontId="22" fillId="13" borderId="65" xfId="0" applyNumberFormat="1" applyFont="1" applyFill="1" applyBorder="1" applyAlignment="1">
      <alignment horizontal="center"/>
    </xf>
    <xf numFmtId="10" fontId="12" fillId="16" borderId="18" xfId="0" applyNumberFormat="1" applyFont="1" applyFill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0" fontId="12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0" fontId="15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14" fontId="23" fillId="9" borderId="7" xfId="0" applyNumberFormat="1" applyFont="1" applyFill="1" applyBorder="1" applyAlignment="1">
      <alignment horizontal="center" vertical="center"/>
    </xf>
    <xf numFmtId="0" fontId="18" fillId="16" borderId="6" xfId="0" applyFont="1" applyFill="1" applyBorder="1" applyAlignment="1">
      <alignment horizontal="center" vertical="center"/>
    </xf>
    <xf numFmtId="0" fontId="18" fillId="16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right"/>
    </xf>
    <xf numFmtId="2" fontId="21" fillId="0" borderId="6" xfId="0" applyNumberFormat="1" applyFont="1" applyBorder="1" applyAlignment="1">
      <alignment horizontal="center"/>
    </xf>
    <xf numFmtId="2" fontId="0" fillId="0" borderId="0" xfId="0" applyNumberFormat="1"/>
    <xf numFmtId="0" fontId="3" fillId="7" borderId="6" xfId="0" applyFont="1" applyFill="1" applyBorder="1" applyAlignment="1">
      <alignment horizontal="right"/>
    </xf>
    <xf numFmtId="2" fontId="21" fillId="7" borderId="6" xfId="0" applyNumberFormat="1" applyFont="1" applyFill="1" applyBorder="1" applyAlignment="1">
      <alignment horizontal="center"/>
    </xf>
    <xf numFmtId="0" fontId="12" fillId="16" borderId="11" xfId="0" applyFont="1" applyFill="1" applyBorder="1" applyAlignment="1">
      <alignment horizontal="center"/>
    </xf>
    <xf numFmtId="1" fontId="24" fillId="0" borderId="6" xfId="0" applyNumberFormat="1" applyFont="1" applyBorder="1" applyAlignment="1">
      <alignment horizontal="center"/>
    </xf>
    <xf numFmtId="0" fontId="0" fillId="0" borderId="17" xfId="0" applyBorder="1"/>
    <xf numFmtId="1" fontId="12" fillId="16" borderId="11" xfId="0" applyNumberFormat="1" applyFont="1" applyFill="1" applyBorder="1" applyAlignment="1">
      <alignment horizontal="center"/>
    </xf>
    <xf numFmtId="0" fontId="23" fillId="9" borderId="4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1" fontId="12" fillId="18" borderId="11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1" fillId="0" borderId="0" xfId="0" applyFont="1"/>
    <xf numFmtId="0" fontId="4" fillId="15" borderId="55" xfId="0" applyFont="1" applyFill="1" applyBorder="1" applyAlignment="1">
      <alignment horizontal="center" vertical="center"/>
    </xf>
    <xf numFmtId="0" fontId="4" fillId="15" borderId="56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0" fillId="13" borderId="13" xfId="0" applyFill="1" applyBorder="1" applyAlignment="1">
      <alignment horizontal="left" vertical="top" wrapText="1"/>
    </xf>
    <xf numFmtId="0" fontId="0" fillId="13" borderId="0" xfId="0" applyFill="1" applyAlignment="1">
      <alignment horizontal="left" vertical="top" wrapText="1"/>
    </xf>
    <xf numFmtId="0" fontId="0" fillId="13" borderId="14" xfId="0" applyFill="1" applyBorder="1" applyAlignment="1">
      <alignment horizontal="left" vertical="top" wrapText="1"/>
    </xf>
    <xf numFmtId="0" fontId="17" fillId="5" borderId="9" xfId="0" applyFont="1" applyFill="1" applyBorder="1" applyAlignment="1">
      <alignment horizontal="center" vertical="center"/>
    </xf>
    <xf numFmtId="0" fontId="17" fillId="5" borderId="57" xfId="0" applyFont="1" applyFill="1" applyBorder="1" applyAlignment="1">
      <alignment horizontal="center" vertical="center"/>
    </xf>
    <xf numFmtId="0" fontId="19" fillId="17" borderId="9" xfId="0" applyFont="1" applyFill="1" applyBorder="1" applyAlignment="1">
      <alignment horizontal="center"/>
    </xf>
    <xf numFmtId="0" fontId="19" fillId="17" borderId="57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48" xfId="0" applyFon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/>
    </xf>
    <xf numFmtId="164" fontId="0" fillId="3" borderId="49" xfId="0" applyNumberFormat="1" applyFill="1" applyBorder="1" applyAlignment="1">
      <alignment horizontal="center"/>
    </xf>
    <xf numFmtId="0" fontId="4" fillId="15" borderId="22" xfId="0" applyFont="1" applyFill="1" applyBorder="1" applyAlignment="1">
      <alignment horizontal="center" vertical="center"/>
    </xf>
    <xf numFmtId="0" fontId="4" fillId="15" borderId="34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4" fillId="15" borderId="28" xfId="0" applyFont="1" applyFill="1" applyBorder="1" applyAlignment="1">
      <alignment horizontal="center" vertical="center"/>
    </xf>
    <xf numFmtId="0" fontId="4" fillId="15" borderId="33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left" vertical="top" wrapText="1"/>
    </xf>
    <xf numFmtId="0" fontId="1" fillId="13" borderId="0" xfId="0" applyFont="1" applyFill="1" applyAlignment="1">
      <alignment horizontal="left" vertical="top" wrapText="1"/>
    </xf>
    <xf numFmtId="0" fontId="1" fillId="13" borderId="14" xfId="0" applyFont="1" applyFill="1" applyBorder="1" applyAlignment="1">
      <alignment horizontal="left" vertical="top" wrapText="1"/>
    </xf>
    <xf numFmtId="0" fontId="4" fillId="6" borderId="1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14" fontId="10" fillId="11" borderId="17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top" wrapText="1"/>
    </xf>
    <xf numFmtId="0" fontId="12" fillId="3" borderId="0" xfId="0" applyFont="1" applyFill="1" applyAlignment="1">
      <alignment horizontal="center" vertical="top" wrapText="1"/>
    </xf>
    <xf numFmtId="0" fontId="15" fillId="9" borderId="13" xfId="0" applyFont="1" applyFill="1" applyBorder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5" fillId="11" borderId="13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horizontal="center" vertical="center"/>
    </xf>
    <xf numFmtId="0" fontId="15" fillId="12" borderId="13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/>
    </xf>
    <xf numFmtId="0" fontId="10" fillId="11" borderId="19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14" fontId="10" fillId="11" borderId="11" xfId="0" applyNumberFormat="1" applyFont="1" applyFill="1" applyBorder="1" applyAlignment="1">
      <alignment horizontal="center" vertical="center"/>
    </xf>
    <xf numFmtId="14" fontId="10" fillId="11" borderId="15" xfId="0" applyNumberFormat="1" applyFont="1" applyFill="1" applyBorder="1" applyAlignment="1">
      <alignment horizontal="center" vertical="center"/>
    </xf>
    <xf numFmtId="14" fontId="10" fillId="11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0</xdr:rowOff>
    </xdr:from>
    <xdr:to>
      <xdr:col>4</xdr:col>
      <xdr:colOff>666750</xdr:colOff>
      <xdr:row>2</xdr:row>
      <xdr:rowOff>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7D307D16-F19C-910D-F1E6-062A778FD350}"/>
            </a:ext>
          </a:extLst>
        </xdr:cNvPr>
        <xdr:cNvSpPr/>
      </xdr:nvSpPr>
      <xdr:spPr>
        <a:xfrm>
          <a:off x="3524250" y="209550"/>
          <a:ext cx="647700" cy="285750"/>
        </a:xfrm>
        <a:prstGeom prst="right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20411</xdr:colOff>
      <xdr:row>3</xdr:row>
      <xdr:rowOff>62141</xdr:rowOff>
    </xdr:from>
    <xdr:to>
      <xdr:col>4</xdr:col>
      <xdr:colOff>668111</xdr:colOff>
      <xdr:row>4</xdr:row>
      <xdr:rowOff>28123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65B5A270-59B5-4E5F-91F6-9CAECABA47F6}"/>
            </a:ext>
          </a:extLst>
        </xdr:cNvPr>
        <xdr:cNvSpPr/>
      </xdr:nvSpPr>
      <xdr:spPr>
        <a:xfrm>
          <a:off x="3524250" y="674462"/>
          <a:ext cx="647700" cy="283482"/>
        </a:xfrm>
        <a:prstGeom prst="rightArrow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78"/>
  <sheetViews>
    <sheetView tabSelected="1" zoomScale="85" zoomScaleNormal="85" workbookViewId="0">
      <selection activeCell="F4" sqref="F4"/>
    </sheetView>
  </sheetViews>
  <sheetFormatPr baseColWidth="10" defaultColWidth="8.83203125" defaultRowHeight="15" x14ac:dyDescent="0.2"/>
  <cols>
    <col min="1" max="1" width="13.5" style="5" customWidth="1"/>
    <col min="2" max="2" width="13.83203125" style="5" customWidth="1"/>
    <col min="3" max="3" width="10.83203125" style="5" bestFit="1" customWidth="1"/>
    <col min="4" max="4" width="14.5" style="15" customWidth="1"/>
    <col min="5" max="5" width="11.33203125" style="5" customWidth="1"/>
    <col min="6" max="6" width="13.6640625" style="11" customWidth="1"/>
    <col min="7" max="7" width="13.5" style="5" bestFit="1" customWidth="1"/>
    <col min="8" max="8" width="13" style="5" customWidth="1"/>
    <col min="9" max="9" width="11.5" style="5" bestFit="1" customWidth="1"/>
    <col min="10" max="10" width="12.6640625" style="5" customWidth="1"/>
    <col min="11" max="11" width="10.83203125" style="5" bestFit="1" customWidth="1"/>
    <col min="12" max="12" width="12.33203125" bestFit="1" customWidth="1"/>
    <col min="13" max="13" width="12.83203125" customWidth="1"/>
    <col min="14" max="14" width="12.33203125" style="5" customWidth="1"/>
    <col min="15" max="15" width="10.83203125" style="5" bestFit="1" customWidth="1"/>
    <col min="16" max="16" width="11.5" style="5" customWidth="1"/>
    <col min="17" max="17" width="2.6640625" customWidth="1"/>
    <col min="18" max="18" width="17" customWidth="1"/>
    <col min="19" max="19" width="12.5" customWidth="1"/>
    <col min="20" max="20" width="10.33203125" customWidth="1"/>
    <col min="24" max="24" width="10.5" customWidth="1"/>
  </cols>
  <sheetData>
    <row r="1" spans="1:25" ht="16.5" customHeight="1" x14ac:dyDescent="0.2">
      <c r="A1" s="183" t="s">
        <v>44</v>
      </c>
      <c r="B1" s="185" t="s">
        <v>45</v>
      </c>
      <c r="C1" s="187" t="s">
        <v>46</v>
      </c>
      <c r="D1" s="179" t="s">
        <v>57</v>
      </c>
      <c r="E1" s="12"/>
      <c r="F1" s="144" t="s">
        <v>47</v>
      </c>
      <c r="G1" s="144" t="s">
        <v>48</v>
      </c>
      <c r="H1" s="144" t="s">
        <v>49</v>
      </c>
      <c r="I1" s="144" t="s">
        <v>50</v>
      </c>
      <c r="J1" s="144" t="s">
        <v>51</v>
      </c>
      <c r="K1" s="144" t="s">
        <v>52</v>
      </c>
      <c r="L1" s="144" t="s">
        <v>53</v>
      </c>
      <c r="M1" s="144" t="s">
        <v>54</v>
      </c>
      <c r="N1" s="144" t="s">
        <v>55</v>
      </c>
      <c r="O1" s="144" t="s">
        <v>56</v>
      </c>
      <c r="P1" s="24"/>
      <c r="Q1" s="1"/>
    </row>
    <row r="2" spans="1:25" ht="22.5" customHeight="1" x14ac:dyDescent="0.2">
      <c r="A2" s="184"/>
      <c r="B2" s="186"/>
      <c r="C2" s="188"/>
      <c r="D2" s="180"/>
      <c r="E2" s="1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25"/>
      <c r="Q2" s="1"/>
    </row>
    <row r="3" spans="1:25" ht="9" customHeight="1" x14ac:dyDescent="0.2">
      <c r="A3" s="127"/>
      <c r="B3" s="127"/>
      <c r="C3" s="128"/>
      <c r="D3" s="125"/>
      <c r="E3" s="126"/>
      <c r="F3" s="130"/>
      <c r="G3" s="130"/>
      <c r="H3" s="129"/>
      <c r="I3" s="129"/>
      <c r="J3" s="129"/>
      <c r="K3" s="129"/>
      <c r="L3" s="129"/>
      <c r="M3" s="129"/>
      <c r="N3" s="129"/>
      <c r="O3" s="129"/>
      <c r="P3" s="123"/>
      <c r="Q3" s="1"/>
    </row>
    <row r="4" spans="1:25" ht="24.75" customHeight="1" x14ac:dyDescent="0.2">
      <c r="A4" s="127"/>
      <c r="B4" s="127"/>
      <c r="C4" s="128"/>
      <c r="D4" s="181" t="s">
        <v>71</v>
      </c>
      <c r="E4" s="126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23"/>
      <c r="Q4" s="1"/>
    </row>
    <row r="5" spans="1:25" ht="21.75" customHeight="1" x14ac:dyDescent="0.25">
      <c r="A5" s="18"/>
      <c r="B5" s="6"/>
      <c r="C5" s="6"/>
      <c r="D5" s="182"/>
      <c r="E5" s="6"/>
      <c r="F5" s="23"/>
      <c r="G5" s="23"/>
      <c r="H5" s="6"/>
      <c r="I5" s="6"/>
      <c r="J5" s="6"/>
      <c r="K5" s="6"/>
      <c r="L5" s="1"/>
      <c r="M5" s="1"/>
      <c r="N5" s="6"/>
      <c r="O5" s="6"/>
      <c r="P5" s="6"/>
      <c r="Q5" s="1"/>
    </row>
    <row r="6" spans="1:25" ht="48" x14ac:dyDescent="0.2">
      <c r="A6" s="27" t="s">
        <v>58</v>
      </c>
      <c r="B6" s="26" t="s">
        <v>26</v>
      </c>
      <c r="C6" s="19" t="s">
        <v>0</v>
      </c>
      <c r="D6" s="19" t="s">
        <v>1</v>
      </c>
      <c r="E6" s="34" t="s">
        <v>2</v>
      </c>
      <c r="F6" s="38" t="s">
        <v>3</v>
      </c>
      <c r="G6" s="39" t="s">
        <v>4</v>
      </c>
      <c r="H6" s="44" t="s">
        <v>43</v>
      </c>
      <c r="I6" s="42" t="s">
        <v>5</v>
      </c>
      <c r="J6" s="21" t="s">
        <v>6</v>
      </c>
      <c r="K6" s="20" t="s">
        <v>73</v>
      </c>
      <c r="L6" s="21" t="s">
        <v>74</v>
      </c>
      <c r="M6" s="46" t="s">
        <v>77</v>
      </c>
      <c r="N6" s="48" t="s">
        <v>76</v>
      </c>
      <c r="O6" s="50" t="s">
        <v>75</v>
      </c>
      <c r="P6" s="22" t="s">
        <v>7</v>
      </c>
      <c r="Q6" s="1"/>
      <c r="R6" s="132" t="s">
        <v>27</v>
      </c>
      <c r="S6" s="133" t="s">
        <v>65</v>
      </c>
    </row>
    <row r="7" spans="1:25" ht="16" x14ac:dyDescent="0.2">
      <c r="A7" s="28"/>
      <c r="B7" s="17"/>
      <c r="C7" s="16"/>
      <c r="D7" s="14"/>
      <c r="E7" s="35"/>
      <c r="F7" s="37"/>
      <c r="G7" s="40"/>
      <c r="H7" s="45" t="str">
        <f>IF(ISBLANK(G7)=FALSE,IF(((G7-E7)*1440)&gt;0,((G7-E7)*1440),"Time error"),"")</f>
        <v/>
      </c>
      <c r="I7" s="16"/>
      <c r="J7" s="9"/>
      <c r="K7" s="7"/>
      <c r="L7" s="2"/>
      <c r="M7" s="47"/>
      <c r="N7" s="49" t="str">
        <f t="shared" ref="N7:N44" si="0">IF(ISNUMBER(H7)=TRUE,IF(H7&gt;0,IF(J7&gt;0,J7/H7,""),""),"")</f>
        <v/>
      </c>
      <c r="O7" s="51"/>
      <c r="P7" s="55" t="str">
        <f>IFERROR((N7/O7),"")</f>
        <v/>
      </c>
      <c r="Q7" s="1"/>
      <c r="R7" s="134" t="s">
        <v>33</v>
      </c>
      <c r="S7" s="135">
        <f>SUMIF($B$7:$B$44,R7,$H$7:$H$44)</f>
        <v>0</v>
      </c>
      <c r="T7" s="136"/>
    </row>
    <row r="8" spans="1:25" ht="16" x14ac:dyDescent="0.2">
      <c r="A8" s="28"/>
      <c r="B8" s="17"/>
      <c r="C8" s="16"/>
      <c r="D8" s="14"/>
      <c r="E8" s="35"/>
      <c r="F8" s="37"/>
      <c r="G8" s="40"/>
      <c r="H8" s="45" t="str">
        <f>IF(ISBLANK(G8)=FALSE,IF(((G8-E8)*1440)&gt;0,((G8-E8)*1440),"Time error"),"")</f>
        <v/>
      </c>
      <c r="I8" s="16"/>
      <c r="J8" s="9"/>
      <c r="K8" s="7"/>
      <c r="L8" s="2"/>
      <c r="M8" s="47"/>
      <c r="N8" s="49" t="str">
        <f t="shared" si="0"/>
        <v/>
      </c>
      <c r="O8" s="51"/>
      <c r="P8" s="56" t="str">
        <f t="shared" ref="P8:P44" si="1">IFERROR((N8/O8),"")</f>
        <v/>
      </c>
      <c r="Q8" s="1"/>
      <c r="R8" s="137" t="s">
        <v>28</v>
      </c>
      <c r="S8" s="138">
        <f t="shared" ref="S8:S12" si="2">SUMIF($B$7:$B$44,R8,$H$7:$H$44)</f>
        <v>0</v>
      </c>
      <c r="T8" s="136"/>
    </row>
    <row r="9" spans="1:25" ht="16" x14ac:dyDescent="0.2">
      <c r="A9" s="28"/>
      <c r="B9" s="17"/>
      <c r="C9" s="16"/>
      <c r="D9" s="14"/>
      <c r="E9" s="35"/>
      <c r="F9" s="37"/>
      <c r="G9" s="40"/>
      <c r="H9" s="45" t="str">
        <f>IF(ISBLANK(G9)=FALSE,IF(((G9-E9)*1440)&gt;0,((G9-E9)*1440),"Time error"),"")</f>
        <v/>
      </c>
      <c r="I9" s="16"/>
      <c r="J9" s="9"/>
      <c r="K9" s="7"/>
      <c r="L9" s="2"/>
      <c r="M9" s="47"/>
      <c r="N9" s="49" t="str">
        <f t="shared" si="0"/>
        <v/>
      </c>
      <c r="O9" s="51"/>
      <c r="P9" s="56" t="str">
        <f t="shared" si="1"/>
        <v/>
      </c>
      <c r="Q9" s="1"/>
      <c r="R9" s="134" t="s">
        <v>29</v>
      </c>
      <c r="S9" s="135">
        <f t="shared" si="2"/>
        <v>0</v>
      </c>
      <c r="T9" s="136"/>
    </row>
    <row r="10" spans="1:25" ht="16" x14ac:dyDescent="0.2">
      <c r="A10" s="28"/>
      <c r="B10" s="17"/>
      <c r="C10" s="16"/>
      <c r="D10" s="14"/>
      <c r="E10" s="35"/>
      <c r="F10" s="37"/>
      <c r="G10" s="40"/>
      <c r="H10" s="45" t="str">
        <f>IF(ISBLANK(G10)=FALSE,IF(((G10-E10)*1440)&gt;0,((G10-E10)*1440),"Time error"),"")</f>
        <v/>
      </c>
      <c r="I10" s="16"/>
      <c r="J10" s="9"/>
      <c r="K10" s="7"/>
      <c r="L10" s="2"/>
      <c r="M10" s="47"/>
      <c r="N10" s="49" t="str">
        <f t="shared" si="0"/>
        <v/>
      </c>
      <c r="O10" s="51"/>
      <c r="P10" s="56" t="str">
        <f t="shared" si="1"/>
        <v/>
      </c>
      <c r="Q10" s="1"/>
      <c r="R10" s="137" t="s">
        <v>30</v>
      </c>
      <c r="S10" s="138">
        <f t="shared" si="2"/>
        <v>0</v>
      </c>
      <c r="T10" s="136"/>
    </row>
    <row r="11" spans="1:25" ht="16" x14ac:dyDescent="0.2">
      <c r="A11" s="28"/>
      <c r="B11" s="17"/>
      <c r="C11" s="16"/>
      <c r="D11" s="14"/>
      <c r="E11" s="36"/>
      <c r="F11" s="32"/>
      <c r="G11" s="41"/>
      <c r="H11" s="45" t="str">
        <f t="shared" ref="H11:H44" si="3">IF(ISBLANK(G11)=FALSE,IF(((G11-E11)*1440)&gt;0,((G11-E11)*1440),"Time error"),"")</f>
        <v/>
      </c>
      <c r="I11" s="16"/>
      <c r="J11" s="9"/>
      <c r="K11" s="7"/>
      <c r="L11" s="2"/>
      <c r="M11" s="47"/>
      <c r="N11" s="49" t="str">
        <f t="shared" si="0"/>
        <v/>
      </c>
      <c r="O11" s="51"/>
      <c r="P11" s="56" t="str">
        <f t="shared" si="1"/>
        <v/>
      </c>
      <c r="Q11" s="1"/>
      <c r="R11" s="134" t="s">
        <v>31</v>
      </c>
      <c r="S11" s="135">
        <f t="shared" si="2"/>
        <v>0</v>
      </c>
      <c r="T11" s="136"/>
    </row>
    <row r="12" spans="1:25" ht="16" x14ac:dyDescent="0.2">
      <c r="A12" s="29"/>
      <c r="B12" s="17"/>
      <c r="C12" s="16"/>
      <c r="D12" s="14"/>
      <c r="E12" s="36"/>
      <c r="F12" s="32"/>
      <c r="G12" s="41"/>
      <c r="H12" s="45" t="str">
        <f t="shared" si="3"/>
        <v/>
      </c>
      <c r="I12" s="16"/>
      <c r="J12" s="9"/>
      <c r="K12" s="7"/>
      <c r="L12" s="2"/>
      <c r="M12" s="47"/>
      <c r="N12" s="49" t="str">
        <f t="shared" si="0"/>
        <v/>
      </c>
      <c r="O12" s="51"/>
      <c r="P12" s="56" t="str">
        <f t="shared" si="1"/>
        <v/>
      </c>
      <c r="Q12" s="1"/>
      <c r="R12" s="137" t="s">
        <v>32</v>
      </c>
      <c r="S12" s="138">
        <f t="shared" si="2"/>
        <v>0</v>
      </c>
      <c r="T12" s="136"/>
    </row>
    <row r="13" spans="1:25" ht="19" x14ac:dyDescent="0.25">
      <c r="A13" s="28"/>
      <c r="B13" s="17"/>
      <c r="C13" s="16"/>
      <c r="D13" s="14"/>
      <c r="E13" s="36"/>
      <c r="F13" s="32"/>
      <c r="G13" s="41"/>
      <c r="H13" s="45" t="str">
        <f t="shared" si="3"/>
        <v/>
      </c>
      <c r="I13" s="16"/>
      <c r="J13" s="9"/>
      <c r="K13" s="7"/>
      <c r="L13" s="2"/>
      <c r="M13" s="47"/>
      <c r="N13" s="49" t="str">
        <f t="shared" si="0"/>
        <v/>
      </c>
      <c r="O13" s="51"/>
      <c r="P13" s="56" t="str">
        <f t="shared" si="1"/>
        <v/>
      </c>
      <c r="Q13" s="1"/>
      <c r="S13" s="139">
        <f>SUM(S7:S12)</f>
        <v>0</v>
      </c>
    </row>
    <row r="14" spans="1:25" ht="16" x14ac:dyDescent="0.2">
      <c r="A14" s="28"/>
      <c r="B14" s="17"/>
      <c r="C14" s="16"/>
      <c r="D14" s="14"/>
      <c r="E14" s="36"/>
      <c r="F14" s="32"/>
      <c r="G14" s="41"/>
      <c r="H14" s="45" t="str">
        <f t="shared" si="3"/>
        <v/>
      </c>
      <c r="I14" s="16"/>
      <c r="J14" s="9"/>
      <c r="K14" s="7"/>
      <c r="L14" s="2"/>
      <c r="M14" s="47"/>
      <c r="N14" s="49" t="str">
        <f t="shared" si="0"/>
        <v/>
      </c>
      <c r="O14" s="51"/>
      <c r="P14" s="56" t="str">
        <f t="shared" si="1"/>
        <v/>
      </c>
      <c r="Q14" s="1"/>
    </row>
    <row r="15" spans="1:25" ht="16" x14ac:dyDescent="0.2">
      <c r="A15" s="30"/>
      <c r="B15" s="17"/>
      <c r="C15" s="16"/>
      <c r="D15" s="14"/>
      <c r="E15" s="36"/>
      <c r="F15" s="32"/>
      <c r="G15" s="41"/>
      <c r="H15" s="45" t="str">
        <f t="shared" si="3"/>
        <v/>
      </c>
      <c r="I15" s="16"/>
      <c r="J15" s="9"/>
      <c r="K15" s="7"/>
      <c r="L15" s="2"/>
      <c r="M15" s="47"/>
      <c r="N15" s="49" t="str">
        <f t="shared" si="0"/>
        <v/>
      </c>
      <c r="O15" s="51"/>
      <c r="P15" s="56" t="str">
        <f t="shared" si="1"/>
        <v/>
      </c>
      <c r="Q15" s="1"/>
    </row>
    <row r="16" spans="1:25" ht="34" x14ac:dyDescent="0.2">
      <c r="A16" s="28"/>
      <c r="B16" s="17"/>
      <c r="C16" s="16"/>
      <c r="D16" s="14"/>
      <c r="E16" s="36"/>
      <c r="F16" s="32"/>
      <c r="G16" s="41"/>
      <c r="H16" s="45" t="str">
        <f t="shared" si="3"/>
        <v/>
      </c>
      <c r="I16" s="16"/>
      <c r="J16" s="9"/>
      <c r="K16" s="7"/>
      <c r="L16" s="2"/>
      <c r="M16" s="47"/>
      <c r="N16" s="49" t="str">
        <f t="shared" si="0"/>
        <v/>
      </c>
      <c r="O16" s="51"/>
      <c r="P16" s="56" t="str">
        <f t="shared" si="1"/>
        <v/>
      </c>
      <c r="Q16" s="1"/>
      <c r="R16" s="132" t="s">
        <v>66</v>
      </c>
      <c r="S16" s="133" t="s">
        <v>72</v>
      </c>
      <c r="T16" s="133" t="s">
        <v>33</v>
      </c>
      <c r="U16" s="133" t="s">
        <v>28</v>
      </c>
      <c r="V16" s="133" t="s">
        <v>29</v>
      </c>
      <c r="W16" s="133" t="s">
        <v>30</v>
      </c>
      <c r="X16" s="133" t="s">
        <v>31</v>
      </c>
      <c r="Y16" s="133" t="s">
        <v>32</v>
      </c>
    </row>
    <row r="17" spans="1:25" ht="16" x14ac:dyDescent="0.2">
      <c r="A17" s="28"/>
      <c r="B17" s="17"/>
      <c r="C17" s="16"/>
      <c r="D17" s="14"/>
      <c r="E17" s="36"/>
      <c r="F17" s="32"/>
      <c r="G17" s="41"/>
      <c r="H17" s="45" t="str">
        <f t="shared" si="3"/>
        <v/>
      </c>
      <c r="I17" s="16"/>
      <c r="J17" s="9"/>
      <c r="K17" s="7"/>
      <c r="L17" s="2"/>
      <c r="M17" s="47"/>
      <c r="N17" s="49" t="str">
        <f t="shared" si="0"/>
        <v/>
      </c>
      <c r="O17" s="51"/>
      <c r="P17" s="56" t="str">
        <f t="shared" si="1"/>
        <v/>
      </c>
      <c r="Q17" s="1"/>
      <c r="R17" s="147" t="str">
        <f>IF(ISBLANK(F2)=TRUE, "", F2)</f>
        <v/>
      </c>
      <c r="S17" s="140">
        <f>IF(ISBLANK(R17)=TRUE,"",SUMIFS(J7:J44,D7:D44,R17,B7:B44,F4))</f>
        <v>0</v>
      </c>
      <c r="T17" s="2" t="str">
        <f>IF(ISBLANK(S17)=TRUE,"",IF(SUMIFS($J$7:$J$44,$D$7:$D$44,R17,$B$7:$B$44,$T$16)&lt;=0,"",SUMIFS($J$7:$J$44,$D$7:$D$44,R17,$B$7:$B$44,$T$16)))</f>
        <v/>
      </c>
      <c r="U17" s="141" t="str">
        <f>IF(ISBLANK(S17)=TRUE,"",IF(SUMIFS($J$7:$J$44,$D$7:$D$44,R17,$B$7:$B$44,$U$16)&lt;=0,"",SUMIFS($J$7:$J$44,$D$7:$D$44,R17,$B$7:$B$44,$U$16)))</f>
        <v/>
      </c>
      <c r="V17" s="141" t="str">
        <f>IF(ISBLANK(S17)=TRUE,"",IF(SUMIFS($J$7:$J$44,$D$7:$D$44,R17,$B$7:$B$44,$V$16)&lt;=0,"",SUMIFS($J$7:$J$44,$D$7:$D$44,R17,$B$7:$B$44,$V$16)))</f>
        <v/>
      </c>
      <c r="W17" s="141" t="str">
        <f>IF(ISBLANK(S17)=TRUE,"",IF(SUMIFS($J$7:$J$44,$D$7:$D$44,R17,$B$7:$B$44,$W$16)&lt;=0,"",SUMIFS($J$7:$J$44,$D$7:$D$44,R17,$B$7:$B$44,$W$16)))</f>
        <v/>
      </c>
      <c r="X17" s="141" t="str">
        <f>IF(ISBLANK(S17)=TRUE,"",IF(SUMIFS($J$7:$J$44,$D$7:$D$44,R17,$B$7:$B$44,$X$16)&lt;=0,"",SUMIFS($J$7:$J$44,$D$7:$D$44,R17,$B$7:$B$44,$X$16)))</f>
        <v/>
      </c>
      <c r="Y17" s="145" t="str">
        <f>IF(ISBLANK(S17)=TRUE,"",IF(SUMIFS($J$7:$J$44,$D$7:$D$44,R17,$B$7:$B$44,$Y$16)&lt;=0,"",SUMIFS($J$7:$J$44,$D$7:$D$44,R17,$B$7:$B$44,$Y$16)))</f>
        <v/>
      </c>
    </row>
    <row r="18" spans="1:25" ht="16" x14ac:dyDescent="0.2">
      <c r="A18" s="28"/>
      <c r="B18" s="17"/>
      <c r="C18" s="16"/>
      <c r="D18" s="14"/>
      <c r="E18" s="36"/>
      <c r="F18" s="32"/>
      <c r="G18" s="41"/>
      <c r="H18" s="45" t="str">
        <f t="shared" si="3"/>
        <v/>
      </c>
      <c r="I18" s="16"/>
      <c r="J18" s="9"/>
      <c r="K18" s="7"/>
      <c r="L18" s="2"/>
      <c r="M18" s="47"/>
      <c r="N18" s="49" t="str">
        <f t="shared" si="0"/>
        <v/>
      </c>
      <c r="O18" s="51"/>
      <c r="P18" s="56" t="str">
        <f t="shared" si="1"/>
        <v/>
      </c>
      <c r="Q18" s="1"/>
      <c r="R18" s="148" t="str">
        <f>IF(ISBLANK(G2)=TRUE, "", G2)</f>
        <v/>
      </c>
      <c r="S18" s="140">
        <f>IF(ISBLANK(R18)=TRUE,"",SUMIFS(J7:J44,D7:D44,R18,B7:B44,G4))</f>
        <v>0</v>
      </c>
      <c r="T18" s="2" t="str">
        <f t="shared" ref="T18:T26" si="4">IF(ISBLANK(S18)=TRUE,"",IF(SUMIFS($J$7:$J$44,$D$7:$D$44,R18,$B$7:$B$44,$T$16)&lt;=0,"",SUMIFS($J$7:$J$44,$D$7:$D$44,R18,$B$7:$B$44,$T$16)))</f>
        <v/>
      </c>
      <c r="U18" s="141" t="str">
        <f t="shared" ref="U18:U26" si="5">IF(ISBLANK(S18)=TRUE,"",IF(SUMIFS($J$7:$J$44,$D$7:$D$44,R18,$B$7:$B$44,$U$16)&lt;=0,"",SUMIFS($J$7:$J$44,$D$7:$D$44,R18,$B$7:$B$44,$U$16)))</f>
        <v/>
      </c>
      <c r="V18" s="141" t="str">
        <f t="shared" ref="V18:V26" si="6">IF(ISBLANK(S18)=TRUE,"",IF(SUMIFS($J$7:$J$44,$D$7:$D$44,R18,$B$7:$B$44,$V$16)&lt;=0,"",SUMIFS($J$7:$J$44,$D$7:$D$44,R18,$B$7:$B$44,$V$16)))</f>
        <v/>
      </c>
      <c r="W18" s="141" t="str">
        <f t="shared" ref="W18:W26" si="7">IF(ISBLANK(S18)=TRUE,"",IF(SUMIFS($J$7:$J$44,$D$7:$D$44,R18,$B$7:$B$44,$W$16)&lt;=0,"",SUMIFS($J$7:$J$44,$D$7:$D$44,R18,$B$7:$B$44,$W$16)))</f>
        <v/>
      </c>
      <c r="X18" s="141" t="str">
        <f t="shared" ref="X18:X26" si="8">IF(ISBLANK(S18)=TRUE,"",IF(SUMIFS($J$7:$J$44,$D$7:$D$44,R18,$B$7:$B$44,$X$16)&lt;=0,"",SUMIFS($J$7:$J$44,$D$7:$D$44,R18,$B$7:$B$44,$X$16)))</f>
        <v/>
      </c>
      <c r="Y18" s="145" t="str">
        <f t="shared" ref="Y18:Y26" si="9">IF(ISBLANK(S18)=TRUE,"",IF(SUMIFS($J$7:$J$44,$D$7:$D$44,R18,$B$7:$B$44,$Y$16)&lt;=0,"",SUMIFS($J$7:$J$44,$D$7:$D$44,R18,$B$7:$B$44,$Y$16)))</f>
        <v/>
      </c>
    </row>
    <row r="19" spans="1:25" ht="16" x14ac:dyDescent="0.2">
      <c r="A19" s="28"/>
      <c r="B19" s="17"/>
      <c r="C19" s="16"/>
      <c r="D19" s="14"/>
      <c r="E19" s="36"/>
      <c r="F19" s="32"/>
      <c r="G19" s="41"/>
      <c r="H19" s="45" t="str">
        <f t="shared" si="3"/>
        <v/>
      </c>
      <c r="I19" s="16"/>
      <c r="J19" s="9"/>
      <c r="K19" s="7"/>
      <c r="L19" s="2"/>
      <c r="M19" s="47"/>
      <c r="N19" s="49" t="str">
        <f t="shared" si="0"/>
        <v/>
      </c>
      <c r="O19" s="51"/>
      <c r="P19" s="56" t="str">
        <f t="shared" si="1"/>
        <v/>
      </c>
      <c r="Q19" s="1"/>
      <c r="R19" s="147" t="str">
        <f>IF(ISBLANK(H2)=TRUE, "", H2)</f>
        <v/>
      </c>
      <c r="S19" s="140">
        <f>IF(R19&lt;=0,"",SUMIFS(J7:J44,D7:D44,R19,B7:B44,H4))</f>
        <v>0</v>
      </c>
      <c r="T19" s="2" t="str">
        <f t="shared" si="4"/>
        <v/>
      </c>
      <c r="U19" s="141" t="str">
        <f t="shared" si="5"/>
        <v/>
      </c>
      <c r="V19" s="141" t="str">
        <f t="shared" si="6"/>
        <v/>
      </c>
      <c r="W19" s="141" t="str">
        <f t="shared" si="7"/>
        <v/>
      </c>
      <c r="X19" s="141" t="str">
        <f t="shared" si="8"/>
        <v/>
      </c>
      <c r="Y19" s="145" t="str">
        <f t="shared" si="9"/>
        <v/>
      </c>
    </row>
    <row r="20" spans="1:25" ht="16" x14ac:dyDescent="0.2">
      <c r="A20" s="28"/>
      <c r="B20" s="17"/>
      <c r="C20" s="16"/>
      <c r="D20" s="14"/>
      <c r="E20" s="36"/>
      <c r="F20" s="32"/>
      <c r="G20" s="41"/>
      <c r="H20" s="45" t="str">
        <f t="shared" si="3"/>
        <v/>
      </c>
      <c r="I20" s="16"/>
      <c r="J20" s="9"/>
      <c r="K20" s="7"/>
      <c r="L20" s="2"/>
      <c r="M20" s="47"/>
      <c r="N20" s="49" t="str">
        <f t="shared" si="0"/>
        <v/>
      </c>
      <c r="O20" s="51"/>
      <c r="P20" s="56" t="str">
        <f t="shared" si="1"/>
        <v/>
      </c>
      <c r="Q20" s="1"/>
      <c r="R20" s="148" t="str">
        <f>IF(ISBLANK(I2)=TRUE, "", I2)</f>
        <v/>
      </c>
      <c r="S20" s="140">
        <f>IF(ISBLANK(R20)=TRUE,"",SUMIFS(J7:J44,D7:D44,R20,B7:B44,I4))</f>
        <v>0</v>
      </c>
      <c r="T20" s="2" t="str">
        <f t="shared" si="4"/>
        <v/>
      </c>
      <c r="U20" s="141" t="str">
        <f t="shared" si="5"/>
        <v/>
      </c>
      <c r="V20" s="141" t="str">
        <f t="shared" si="6"/>
        <v/>
      </c>
      <c r="W20" s="141" t="str">
        <f t="shared" si="7"/>
        <v/>
      </c>
      <c r="X20" s="141" t="str">
        <f t="shared" si="8"/>
        <v/>
      </c>
      <c r="Y20" s="145" t="str">
        <f t="shared" si="9"/>
        <v/>
      </c>
    </row>
    <row r="21" spans="1:25" ht="16" x14ac:dyDescent="0.2">
      <c r="A21" s="28"/>
      <c r="B21" s="17"/>
      <c r="C21" s="16"/>
      <c r="D21" s="14"/>
      <c r="E21" s="36"/>
      <c r="F21" s="32"/>
      <c r="G21" s="41"/>
      <c r="H21" s="45" t="str">
        <f t="shared" si="3"/>
        <v/>
      </c>
      <c r="I21" s="16"/>
      <c r="J21" s="9"/>
      <c r="K21" s="7"/>
      <c r="L21" s="2"/>
      <c r="M21" s="47"/>
      <c r="N21" s="49" t="str">
        <f t="shared" si="0"/>
        <v/>
      </c>
      <c r="O21" s="51"/>
      <c r="P21" s="56" t="str">
        <f t="shared" si="1"/>
        <v/>
      </c>
      <c r="Q21" s="1"/>
      <c r="R21" s="147" t="str">
        <f>IF(ISBLANK(J2)=TRUE, "", J2)</f>
        <v/>
      </c>
      <c r="S21" s="140">
        <f>SUMIFS(J7:J44,D7:D44,R21,B7:B44,J4)</f>
        <v>0</v>
      </c>
      <c r="T21" s="2" t="str">
        <f t="shared" si="4"/>
        <v/>
      </c>
      <c r="U21" s="141" t="str">
        <f t="shared" si="5"/>
        <v/>
      </c>
      <c r="V21" s="141" t="str">
        <f t="shared" si="6"/>
        <v/>
      </c>
      <c r="W21" s="141" t="str">
        <f t="shared" si="7"/>
        <v/>
      </c>
      <c r="X21" s="141" t="str">
        <f t="shared" si="8"/>
        <v/>
      </c>
      <c r="Y21" s="145" t="str">
        <f t="shared" si="9"/>
        <v/>
      </c>
    </row>
    <row r="22" spans="1:25" ht="16" x14ac:dyDescent="0.2">
      <c r="A22" s="28"/>
      <c r="B22" s="17"/>
      <c r="C22" s="16"/>
      <c r="D22" s="14"/>
      <c r="E22" s="36"/>
      <c r="F22" s="33"/>
      <c r="G22" s="41"/>
      <c r="H22" s="45" t="str">
        <f t="shared" si="3"/>
        <v/>
      </c>
      <c r="I22" s="43"/>
      <c r="J22" s="10"/>
      <c r="K22" s="8"/>
      <c r="L22" s="3"/>
      <c r="M22" s="47"/>
      <c r="N22" s="49" t="str">
        <f t="shared" si="0"/>
        <v/>
      </c>
      <c r="O22" s="51"/>
      <c r="P22" s="56" t="str">
        <f t="shared" si="1"/>
        <v/>
      </c>
      <c r="Q22" s="1"/>
      <c r="R22" s="148" t="str">
        <f>IF(ISBLANK(K2)=TRUE, "", K2)</f>
        <v/>
      </c>
      <c r="S22" s="140">
        <f>SUMIFS(J7:J44,D7:D44,R22,B7:B44,K4)</f>
        <v>0</v>
      </c>
      <c r="T22" s="2" t="str">
        <f t="shared" si="4"/>
        <v/>
      </c>
      <c r="U22" s="141" t="str">
        <f t="shared" si="5"/>
        <v/>
      </c>
      <c r="V22" s="141" t="str">
        <f t="shared" si="6"/>
        <v/>
      </c>
      <c r="W22" s="141" t="str">
        <f t="shared" si="7"/>
        <v/>
      </c>
      <c r="X22" s="141" t="str">
        <f t="shared" si="8"/>
        <v/>
      </c>
      <c r="Y22" s="145" t="str">
        <f t="shared" si="9"/>
        <v/>
      </c>
    </row>
    <row r="23" spans="1:25" ht="16" x14ac:dyDescent="0.2">
      <c r="A23" s="31"/>
      <c r="B23" s="17"/>
      <c r="C23" s="16"/>
      <c r="D23" s="14"/>
      <c r="E23" s="36"/>
      <c r="F23" s="33"/>
      <c r="G23" s="41"/>
      <c r="H23" s="45" t="str">
        <f t="shared" si="3"/>
        <v/>
      </c>
      <c r="I23" s="43"/>
      <c r="J23" s="10"/>
      <c r="K23" s="8"/>
      <c r="L23" s="3"/>
      <c r="M23" s="47"/>
      <c r="N23" s="49" t="str">
        <f t="shared" si="0"/>
        <v/>
      </c>
      <c r="O23" s="51"/>
      <c r="P23" s="56" t="str">
        <f t="shared" si="1"/>
        <v/>
      </c>
      <c r="Q23" s="1"/>
      <c r="R23" s="147" t="str">
        <f>IF(ISBLANK(L2)=TRUE, "", L2)</f>
        <v/>
      </c>
      <c r="S23" s="140">
        <f>SUMIFS(J7:J44,D7:D44,R23,B7:B44,L4)</f>
        <v>0</v>
      </c>
      <c r="T23" s="2" t="str">
        <f t="shared" si="4"/>
        <v/>
      </c>
      <c r="U23" s="141" t="str">
        <f t="shared" si="5"/>
        <v/>
      </c>
      <c r="V23" s="141" t="str">
        <f t="shared" si="6"/>
        <v/>
      </c>
      <c r="W23" s="141" t="str">
        <f t="shared" si="7"/>
        <v/>
      </c>
      <c r="X23" s="141" t="str">
        <f t="shared" si="8"/>
        <v/>
      </c>
      <c r="Y23" s="145" t="str">
        <f t="shared" si="9"/>
        <v/>
      </c>
    </row>
    <row r="24" spans="1:25" ht="16" x14ac:dyDescent="0.2">
      <c r="A24" s="29"/>
      <c r="B24" s="17"/>
      <c r="C24" s="16"/>
      <c r="D24" s="14"/>
      <c r="E24" s="36"/>
      <c r="F24" s="33"/>
      <c r="G24" s="41"/>
      <c r="H24" s="45" t="str">
        <f t="shared" si="3"/>
        <v/>
      </c>
      <c r="I24" s="43"/>
      <c r="J24" s="10"/>
      <c r="K24" s="8"/>
      <c r="L24" s="3"/>
      <c r="M24" s="47"/>
      <c r="N24" s="49" t="str">
        <f t="shared" si="0"/>
        <v/>
      </c>
      <c r="O24" s="51"/>
      <c r="P24" s="56" t="str">
        <f t="shared" si="1"/>
        <v/>
      </c>
      <c r="Q24" s="1"/>
      <c r="R24" s="148" t="str">
        <f>IF(ISBLANK(M2)=TRUE, "", M2)</f>
        <v/>
      </c>
      <c r="S24" s="140">
        <f>SUMIFS(J7:J44,D7:D44,R24,B7:B44,M4)</f>
        <v>0</v>
      </c>
      <c r="T24" s="2" t="str">
        <f t="shared" si="4"/>
        <v/>
      </c>
      <c r="U24" s="141" t="str">
        <f t="shared" si="5"/>
        <v/>
      </c>
      <c r="V24" s="141" t="str">
        <f t="shared" si="6"/>
        <v/>
      </c>
      <c r="W24" s="141" t="str">
        <f t="shared" si="7"/>
        <v/>
      </c>
      <c r="X24" s="141" t="str">
        <f t="shared" si="8"/>
        <v/>
      </c>
      <c r="Y24" s="145" t="str">
        <f t="shared" si="9"/>
        <v/>
      </c>
    </row>
    <row r="25" spans="1:25" ht="16" x14ac:dyDescent="0.2">
      <c r="A25" s="28"/>
      <c r="B25" s="17"/>
      <c r="C25" s="16"/>
      <c r="D25" s="14"/>
      <c r="E25" s="36"/>
      <c r="F25" s="33"/>
      <c r="G25" s="41"/>
      <c r="H25" s="45" t="str">
        <f t="shared" si="3"/>
        <v/>
      </c>
      <c r="I25" s="43"/>
      <c r="J25" s="10"/>
      <c r="K25" s="8"/>
      <c r="L25" s="3"/>
      <c r="M25" s="47"/>
      <c r="N25" s="49" t="str">
        <f t="shared" si="0"/>
        <v/>
      </c>
      <c r="O25" s="51"/>
      <c r="P25" s="56" t="str">
        <f t="shared" si="1"/>
        <v/>
      </c>
      <c r="Q25" s="1"/>
      <c r="R25" s="147" t="str">
        <f>IF(ISBLANK(N2)=TRUE, "", N2)</f>
        <v/>
      </c>
      <c r="S25" s="140">
        <f>SUMIFS(J7:J44,D7:D44,R25,B7:B44,N4)</f>
        <v>0</v>
      </c>
      <c r="T25" s="2" t="str">
        <f t="shared" si="4"/>
        <v/>
      </c>
      <c r="U25" s="141" t="str">
        <f t="shared" si="5"/>
        <v/>
      </c>
      <c r="V25" s="141" t="str">
        <f t="shared" si="6"/>
        <v/>
      </c>
      <c r="W25" s="141" t="str">
        <f t="shared" si="7"/>
        <v/>
      </c>
      <c r="X25" s="141" t="str">
        <f t="shared" si="8"/>
        <v/>
      </c>
      <c r="Y25" s="145" t="str">
        <f t="shared" si="9"/>
        <v/>
      </c>
    </row>
    <row r="26" spans="1:25" ht="16" x14ac:dyDescent="0.2">
      <c r="A26" s="28"/>
      <c r="B26" s="17"/>
      <c r="C26" s="16"/>
      <c r="D26" s="14"/>
      <c r="E26" s="36"/>
      <c r="F26" s="33"/>
      <c r="G26" s="41"/>
      <c r="H26" s="45" t="str">
        <f t="shared" si="3"/>
        <v/>
      </c>
      <c r="I26" s="43"/>
      <c r="J26" s="10"/>
      <c r="K26" s="8"/>
      <c r="L26" s="3"/>
      <c r="M26" s="47"/>
      <c r="N26" s="49" t="str">
        <f t="shared" si="0"/>
        <v/>
      </c>
      <c r="O26" s="51"/>
      <c r="P26" s="56" t="str">
        <f t="shared" si="1"/>
        <v/>
      </c>
      <c r="Q26" s="1"/>
      <c r="R26" s="148" t="str">
        <f>IF(ISBLANK(O2)=TRUE, "", O2)</f>
        <v/>
      </c>
      <c r="S26" s="140">
        <f>SUMIFS(J7:J44,D7:D44,R26,B7:B44,O4)</f>
        <v>0</v>
      </c>
      <c r="T26" s="2" t="str">
        <f t="shared" si="4"/>
        <v/>
      </c>
      <c r="U26" s="141" t="str">
        <f t="shared" si="5"/>
        <v/>
      </c>
      <c r="V26" s="141" t="str">
        <f t="shared" si="6"/>
        <v/>
      </c>
      <c r="W26" s="141" t="str">
        <f t="shared" si="7"/>
        <v/>
      </c>
      <c r="X26" s="141" t="str">
        <f t="shared" si="8"/>
        <v/>
      </c>
      <c r="Y26" s="145" t="str">
        <f t="shared" si="9"/>
        <v/>
      </c>
    </row>
    <row r="27" spans="1:25" ht="19" x14ac:dyDescent="0.25">
      <c r="A27" s="31"/>
      <c r="B27" s="17"/>
      <c r="C27" s="16"/>
      <c r="D27" s="14"/>
      <c r="E27" s="36"/>
      <c r="F27" s="33"/>
      <c r="G27" s="41"/>
      <c r="H27" s="45" t="str">
        <f t="shared" si="3"/>
        <v/>
      </c>
      <c r="I27" s="43"/>
      <c r="J27" s="10"/>
      <c r="K27" s="8"/>
      <c r="L27" s="3"/>
      <c r="M27" s="47"/>
      <c r="N27" s="49" t="str">
        <f t="shared" si="0"/>
        <v/>
      </c>
      <c r="O27" s="51"/>
      <c r="P27" s="56" t="str">
        <f t="shared" si="1"/>
        <v/>
      </c>
      <c r="Q27" s="1"/>
      <c r="S27" s="142">
        <f>SUM(S17:S26)</f>
        <v>0</v>
      </c>
      <c r="T27" s="146">
        <f t="shared" ref="T27:Y27" si="10">SUM(T17:T26)</f>
        <v>0</v>
      </c>
      <c r="U27" s="146">
        <f t="shared" si="10"/>
        <v>0</v>
      </c>
      <c r="V27" s="146">
        <f t="shared" si="10"/>
        <v>0</v>
      </c>
      <c r="W27" s="146">
        <f t="shared" si="10"/>
        <v>0</v>
      </c>
      <c r="X27" s="146">
        <f t="shared" si="10"/>
        <v>0</v>
      </c>
      <c r="Y27" s="146">
        <f t="shared" si="10"/>
        <v>0</v>
      </c>
    </row>
    <row r="28" spans="1:25" ht="16" x14ac:dyDescent="0.2">
      <c r="A28" s="28"/>
      <c r="B28" s="17"/>
      <c r="C28" s="16"/>
      <c r="D28" s="14"/>
      <c r="E28" s="36"/>
      <c r="F28" s="33"/>
      <c r="G28" s="41"/>
      <c r="H28" s="45" t="str">
        <f t="shared" si="3"/>
        <v/>
      </c>
      <c r="I28" s="43"/>
      <c r="J28" s="10"/>
      <c r="K28" s="8"/>
      <c r="L28" s="3"/>
      <c r="M28" s="47"/>
      <c r="N28" s="49" t="str">
        <f t="shared" si="0"/>
        <v/>
      </c>
      <c r="O28" s="51"/>
      <c r="P28" s="56" t="str">
        <f t="shared" si="1"/>
        <v/>
      </c>
      <c r="Q28" s="1"/>
    </row>
    <row r="29" spans="1:25" ht="16" x14ac:dyDescent="0.2">
      <c r="A29" s="29"/>
      <c r="B29" s="17"/>
      <c r="C29" s="16"/>
      <c r="D29" s="14"/>
      <c r="E29" s="36"/>
      <c r="F29" s="33"/>
      <c r="G29" s="41"/>
      <c r="H29" s="45" t="str">
        <f t="shared" si="3"/>
        <v/>
      </c>
      <c r="I29" s="43"/>
      <c r="J29" s="10"/>
      <c r="K29" s="8"/>
      <c r="L29" s="3"/>
      <c r="M29" s="47"/>
      <c r="N29" s="49" t="str">
        <f t="shared" si="0"/>
        <v/>
      </c>
      <c r="O29" s="51"/>
      <c r="P29" s="56" t="str">
        <f t="shared" si="1"/>
        <v/>
      </c>
      <c r="Q29" s="1"/>
    </row>
    <row r="30" spans="1:25" ht="16" x14ac:dyDescent="0.2">
      <c r="A30" s="28"/>
      <c r="B30" s="17"/>
      <c r="C30" s="16"/>
      <c r="D30" s="14"/>
      <c r="E30" s="36"/>
      <c r="F30" s="33"/>
      <c r="G30" s="41"/>
      <c r="H30" s="45" t="str">
        <f t="shared" si="3"/>
        <v/>
      </c>
      <c r="I30" s="43"/>
      <c r="J30" s="10"/>
      <c r="K30" s="8"/>
      <c r="L30" s="3"/>
      <c r="M30" s="47"/>
      <c r="N30" s="49" t="str">
        <f t="shared" si="0"/>
        <v/>
      </c>
      <c r="O30" s="51"/>
      <c r="P30" s="56" t="str">
        <f t="shared" si="1"/>
        <v/>
      </c>
      <c r="Q30" s="1"/>
    </row>
    <row r="31" spans="1:25" ht="16" x14ac:dyDescent="0.2">
      <c r="A31" s="28"/>
      <c r="B31" s="17"/>
      <c r="C31" s="16"/>
      <c r="D31" s="14"/>
      <c r="E31" s="36"/>
      <c r="F31" s="33"/>
      <c r="G31" s="41"/>
      <c r="H31" s="45" t="str">
        <f t="shared" si="3"/>
        <v/>
      </c>
      <c r="I31" s="43"/>
      <c r="J31" s="10"/>
      <c r="K31" s="8"/>
      <c r="L31" s="3"/>
      <c r="M31" s="47"/>
      <c r="N31" s="49" t="str">
        <f t="shared" si="0"/>
        <v/>
      </c>
      <c r="O31" s="51"/>
      <c r="P31" s="56" t="str">
        <f t="shared" si="1"/>
        <v/>
      </c>
      <c r="Q31" s="1"/>
    </row>
    <row r="32" spans="1:25" ht="16" x14ac:dyDescent="0.2">
      <c r="A32" s="28"/>
      <c r="B32" s="17"/>
      <c r="C32" s="16"/>
      <c r="D32" s="14"/>
      <c r="E32" s="36"/>
      <c r="F32" s="33"/>
      <c r="G32" s="41"/>
      <c r="H32" s="45" t="str">
        <f t="shared" si="3"/>
        <v/>
      </c>
      <c r="I32" s="43"/>
      <c r="J32" s="10"/>
      <c r="K32" s="8"/>
      <c r="L32" s="3"/>
      <c r="M32" s="47"/>
      <c r="N32" s="49" t="str">
        <f t="shared" si="0"/>
        <v/>
      </c>
      <c r="O32" s="51"/>
      <c r="P32" s="56" t="str">
        <f t="shared" si="1"/>
        <v/>
      </c>
      <c r="Q32" s="1"/>
    </row>
    <row r="33" spans="1:17" ht="16" x14ac:dyDescent="0.2">
      <c r="A33" s="28"/>
      <c r="B33" s="17"/>
      <c r="C33" s="16"/>
      <c r="D33" s="14"/>
      <c r="E33" s="36"/>
      <c r="F33" s="33"/>
      <c r="G33" s="41"/>
      <c r="H33" s="45" t="str">
        <f t="shared" si="3"/>
        <v/>
      </c>
      <c r="I33" s="43"/>
      <c r="J33" s="10"/>
      <c r="K33" s="8"/>
      <c r="L33" s="3"/>
      <c r="M33" s="47"/>
      <c r="N33" s="49" t="str">
        <f t="shared" si="0"/>
        <v/>
      </c>
      <c r="O33" s="51"/>
      <c r="P33" s="56" t="str">
        <f t="shared" si="1"/>
        <v/>
      </c>
      <c r="Q33" s="1"/>
    </row>
    <row r="34" spans="1:17" ht="16" x14ac:dyDescent="0.2">
      <c r="A34" s="28"/>
      <c r="B34" s="17"/>
      <c r="C34" s="16"/>
      <c r="D34" s="14"/>
      <c r="E34" s="36"/>
      <c r="F34" s="33"/>
      <c r="G34" s="41"/>
      <c r="H34" s="45" t="str">
        <f t="shared" si="3"/>
        <v/>
      </c>
      <c r="I34" s="43"/>
      <c r="J34" s="10"/>
      <c r="K34" s="8"/>
      <c r="L34" s="3"/>
      <c r="M34" s="47"/>
      <c r="N34" s="49" t="str">
        <f t="shared" si="0"/>
        <v/>
      </c>
      <c r="O34" s="51"/>
      <c r="P34" s="56" t="str">
        <f t="shared" si="1"/>
        <v/>
      </c>
      <c r="Q34" s="1"/>
    </row>
    <row r="35" spans="1:17" ht="16" x14ac:dyDescent="0.2">
      <c r="A35" s="28"/>
      <c r="B35" s="17"/>
      <c r="C35" s="16"/>
      <c r="D35" s="14"/>
      <c r="E35" s="36"/>
      <c r="F35" s="33"/>
      <c r="G35" s="41"/>
      <c r="H35" s="45" t="str">
        <f t="shared" si="3"/>
        <v/>
      </c>
      <c r="I35" s="43"/>
      <c r="J35" s="10"/>
      <c r="K35" s="8"/>
      <c r="L35" s="3"/>
      <c r="M35" s="47"/>
      <c r="N35" s="49" t="str">
        <f t="shared" si="0"/>
        <v/>
      </c>
      <c r="O35" s="51"/>
      <c r="P35" s="56" t="str">
        <f t="shared" si="1"/>
        <v/>
      </c>
      <c r="Q35" s="1"/>
    </row>
    <row r="36" spans="1:17" ht="16" x14ac:dyDescent="0.2">
      <c r="A36" s="28"/>
      <c r="B36" s="17"/>
      <c r="C36" s="16"/>
      <c r="D36" s="14"/>
      <c r="E36" s="36"/>
      <c r="F36" s="33"/>
      <c r="G36" s="41"/>
      <c r="H36" s="45" t="str">
        <f t="shared" si="3"/>
        <v/>
      </c>
      <c r="I36" s="43"/>
      <c r="J36" s="10"/>
      <c r="K36" s="8"/>
      <c r="L36" s="3"/>
      <c r="M36" s="47"/>
      <c r="N36" s="49" t="str">
        <f t="shared" si="0"/>
        <v/>
      </c>
      <c r="O36" s="51"/>
      <c r="P36" s="56" t="str">
        <f t="shared" si="1"/>
        <v/>
      </c>
      <c r="Q36" s="1"/>
    </row>
    <row r="37" spans="1:17" ht="16" x14ac:dyDescent="0.2">
      <c r="A37" s="28"/>
      <c r="B37" s="17"/>
      <c r="C37" s="16"/>
      <c r="D37" s="14"/>
      <c r="E37" s="36"/>
      <c r="F37" s="33"/>
      <c r="G37" s="41"/>
      <c r="H37" s="45" t="str">
        <f t="shared" si="3"/>
        <v/>
      </c>
      <c r="I37" s="43"/>
      <c r="J37" s="10"/>
      <c r="K37" s="8"/>
      <c r="L37" s="3"/>
      <c r="M37" s="47"/>
      <c r="N37" s="49" t="str">
        <f t="shared" si="0"/>
        <v/>
      </c>
      <c r="O37" s="51"/>
      <c r="P37" s="56" t="str">
        <f t="shared" si="1"/>
        <v/>
      </c>
      <c r="Q37" s="1"/>
    </row>
    <row r="38" spans="1:17" ht="16" x14ac:dyDescent="0.2">
      <c r="A38" s="28"/>
      <c r="B38" s="17"/>
      <c r="C38" s="16"/>
      <c r="D38" s="14"/>
      <c r="E38" s="36"/>
      <c r="F38" s="33"/>
      <c r="G38" s="41"/>
      <c r="H38" s="45" t="str">
        <f t="shared" si="3"/>
        <v/>
      </c>
      <c r="I38" s="43"/>
      <c r="J38" s="10"/>
      <c r="K38" s="8"/>
      <c r="L38" s="3"/>
      <c r="M38" s="47"/>
      <c r="N38" s="49" t="str">
        <f t="shared" si="0"/>
        <v/>
      </c>
      <c r="O38" s="51"/>
      <c r="P38" s="56" t="str">
        <f t="shared" si="1"/>
        <v/>
      </c>
      <c r="Q38" s="1"/>
    </row>
    <row r="39" spans="1:17" ht="16" x14ac:dyDescent="0.2">
      <c r="A39" s="28"/>
      <c r="B39" s="17"/>
      <c r="C39" s="16"/>
      <c r="D39" s="14"/>
      <c r="E39" s="36"/>
      <c r="F39" s="33"/>
      <c r="G39" s="41"/>
      <c r="H39" s="45" t="str">
        <f t="shared" si="3"/>
        <v/>
      </c>
      <c r="I39" s="43"/>
      <c r="J39" s="10"/>
      <c r="K39" s="8"/>
      <c r="L39" s="3"/>
      <c r="M39" s="47"/>
      <c r="N39" s="49" t="str">
        <f t="shared" si="0"/>
        <v/>
      </c>
      <c r="O39" s="51"/>
      <c r="P39" s="56" t="str">
        <f t="shared" si="1"/>
        <v/>
      </c>
      <c r="Q39" s="1"/>
    </row>
    <row r="40" spans="1:17" ht="16" x14ac:dyDescent="0.2">
      <c r="A40" s="28"/>
      <c r="B40" s="17"/>
      <c r="C40" s="16"/>
      <c r="D40" s="14"/>
      <c r="E40" s="36"/>
      <c r="F40" s="33"/>
      <c r="G40" s="41"/>
      <c r="H40" s="45" t="str">
        <f t="shared" si="3"/>
        <v/>
      </c>
      <c r="I40" s="43"/>
      <c r="J40" s="10"/>
      <c r="K40" s="8"/>
      <c r="L40" s="3"/>
      <c r="M40" s="47"/>
      <c r="N40" s="49" t="str">
        <f t="shared" si="0"/>
        <v/>
      </c>
      <c r="O40" s="51"/>
      <c r="P40" s="56" t="str">
        <f t="shared" si="1"/>
        <v/>
      </c>
      <c r="Q40" s="1"/>
    </row>
    <row r="41" spans="1:17" ht="16" x14ac:dyDescent="0.2">
      <c r="A41" s="28"/>
      <c r="B41" s="17"/>
      <c r="C41" s="16"/>
      <c r="D41" s="14"/>
      <c r="E41" s="36"/>
      <c r="F41" s="33"/>
      <c r="G41" s="41"/>
      <c r="H41" s="45" t="str">
        <f t="shared" si="3"/>
        <v/>
      </c>
      <c r="I41" s="43"/>
      <c r="J41" s="10"/>
      <c r="K41" s="8"/>
      <c r="L41" s="3"/>
      <c r="M41" s="47"/>
      <c r="N41" s="49" t="str">
        <f t="shared" si="0"/>
        <v/>
      </c>
      <c r="O41" s="51"/>
      <c r="P41" s="56" t="str">
        <f t="shared" si="1"/>
        <v/>
      </c>
      <c r="Q41" s="1"/>
    </row>
    <row r="42" spans="1:17" ht="16" x14ac:dyDescent="0.2">
      <c r="A42" s="28"/>
      <c r="B42" s="17"/>
      <c r="C42" s="16"/>
      <c r="D42" s="14"/>
      <c r="E42" s="36"/>
      <c r="F42" s="33"/>
      <c r="G42" s="41"/>
      <c r="H42" s="45" t="str">
        <f t="shared" si="3"/>
        <v/>
      </c>
      <c r="I42" s="43"/>
      <c r="J42" s="10"/>
      <c r="K42" s="8"/>
      <c r="L42" s="3"/>
      <c r="M42" s="47"/>
      <c r="N42" s="49" t="str">
        <f t="shared" si="0"/>
        <v/>
      </c>
      <c r="O42" s="51"/>
      <c r="P42" s="56" t="str">
        <f t="shared" si="1"/>
        <v/>
      </c>
      <c r="Q42" s="1"/>
    </row>
    <row r="43" spans="1:17" ht="16" x14ac:dyDescent="0.2">
      <c r="A43" s="28"/>
      <c r="B43" s="17"/>
      <c r="C43" s="16"/>
      <c r="D43" s="14"/>
      <c r="E43" s="36"/>
      <c r="F43" s="33"/>
      <c r="G43" s="41"/>
      <c r="H43" s="45" t="str">
        <f t="shared" si="3"/>
        <v/>
      </c>
      <c r="I43" s="43"/>
      <c r="J43" s="10"/>
      <c r="K43" s="8"/>
      <c r="L43" s="3"/>
      <c r="M43" s="47"/>
      <c r="N43" s="49" t="str">
        <f t="shared" si="0"/>
        <v/>
      </c>
      <c r="O43" s="51"/>
      <c r="P43" s="56" t="str">
        <f t="shared" si="1"/>
        <v/>
      </c>
      <c r="Q43" s="1"/>
    </row>
    <row r="44" spans="1:17" ht="17" thickBot="1" x14ac:dyDescent="0.25">
      <c r="A44" s="99"/>
      <c r="B44" s="96"/>
      <c r="C44" s="43"/>
      <c r="D44" s="100"/>
      <c r="E44" s="101"/>
      <c r="F44" s="102"/>
      <c r="G44" s="103"/>
      <c r="H44" s="104" t="str">
        <f t="shared" si="3"/>
        <v/>
      </c>
      <c r="I44" s="105"/>
      <c r="J44" s="106"/>
      <c r="K44" s="106"/>
      <c r="L44" s="107"/>
      <c r="M44" s="108"/>
      <c r="N44" s="97" t="str">
        <f t="shared" si="0"/>
        <v/>
      </c>
      <c r="O44" s="98"/>
      <c r="P44" s="109" t="str">
        <f t="shared" si="1"/>
        <v/>
      </c>
      <c r="Q44" s="1"/>
    </row>
    <row r="45" spans="1:17" ht="19" x14ac:dyDescent="0.25">
      <c r="A45" s="110"/>
      <c r="B45" s="111"/>
      <c r="C45" s="112"/>
      <c r="D45" s="113"/>
      <c r="E45" s="114"/>
      <c r="F45" s="115"/>
      <c r="G45" s="116"/>
      <c r="H45" s="117">
        <f>SUM(H7:H44)</f>
        <v>0</v>
      </c>
      <c r="I45" s="118"/>
      <c r="J45" s="119">
        <f>SUM(J7:J44)</f>
        <v>0</v>
      </c>
      <c r="K45" s="118"/>
      <c r="L45" s="118"/>
      <c r="M45" s="122">
        <f>SUM(M7:M44)</f>
        <v>0</v>
      </c>
      <c r="N45" s="120" t="e">
        <f>AVERAGE(N7:N44)</f>
        <v>#DIV/0!</v>
      </c>
      <c r="O45" s="120" t="e">
        <f>AVERAGE(O7:O44)</f>
        <v>#DIV/0!</v>
      </c>
      <c r="P45" s="121" t="e">
        <f>AVERAGE(P7:P44)</f>
        <v>#DIV/0!</v>
      </c>
      <c r="Q45" s="1"/>
    </row>
    <row r="46" spans="1:17" x14ac:dyDescent="0.2">
      <c r="A46" s="174" t="s">
        <v>19</v>
      </c>
      <c r="B46" s="176" t="s">
        <v>27</v>
      </c>
      <c r="C46" s="161" t="s">
        <v>59</v>
      </c>
      <c r="D46" s="163" t="s">
        <v>64</v>
      </c>
      <c r="E46" s="164"/>
      <c r="F46" s="152" t="s">
        <v>8</v>
      </c>
      <c r="G46" s="169" t="s">
        <v>9</v>
      </c>
      <c r="H46" s="169" t="s">
        <v>10</v>
      </c>
      <c r="I46" s="166" t="s">
        <v>11</v>
      </c>
      <c r="J46" s="166" t="s">
        <v>12</v>
      </c>
      <c r="K46" s="166" t="s">
        <v>13</v>
      </c>
      <c r="L46" s="166" t="s">
        <v>14</v>
      </c>
      <c r="M46" s="166" t="s">
        <v>15</v>
      </c>
      <c r="N46" s="166" t="s">
        <v>16</v>
      </c>
      <c r="O46" s="166" t="s">
        <v>17</v>
      </c>
      <c r="P46" s="150" t="s">
        <v>18</v>
      </c>
      <c r="Q46" s="1"/>
    </row>
    <row r="47" spans="1:17" ht="16" thickBot="1" x14ac:dyDescent="0.25">
      <c r="A47" s="175"/>
      <c r="B47" s="177"/>
      <c r="C47" s="162"/>
      <c r="D47" s="162"/>
      <c r="E47" s="165"/>
      <c r="F47" s="153"/>
      <c r="G47" s="170"/>
      <c r="H47" s="170"/>
      <c r="I47" s="167"/>
      <c r="J47" s="167"/>
      <c r="K47" s="167"/>
      <c r="L47" s="167"/>
      <c r="M47" s="167"/>
      <c r="N47" s="167"/>
      <c r="O47" s="167"/>
      <c r="P47" s="151"/>
      <c r="Q47" s="1"/>
    </row>
    <row r="48" spans="1:17" ht="15" customHeight="1" x14ac:dyDescent="0.2">
      <c r="A48" s="189"/>
      <c r="B48" s="192"/>
      <c r="C48" s="154"/>
      <c r="D48" s="157"/>
      <c r="E48" s="86" t="s">
        <v>21</v>
      </c>
      <c r="F48" s="68"/>
      <c r="G48" s="69"/>
      <c r="H48" s="70"/>
      <c r="I48" s="70"/>
      <c r="J48" s="70"/>
      <c r="K48" s="70"/>
      <c r="L48" s="70"/>
      <c r="M48" s="70"/>
      <c r="N48" s="70"/>
      <c r="O48" s="70"/>
      <c r="P48" s="71"/>
      <c r="Q48" s="1"/>
    </row>
    <row r="49" spans="1:19" ht="15" customHeight="1" x14ac:dyDescent="0.2">
      <c r="A49" s="190"/>
      <c r="B49" s="193"/>
      <c r="C49" s="155"/>
      <c r="D49" s="158"/>
      <c r="E49" s="85" t="s">
        <v>60</v>
      </c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3"/>
      <c r="Q49" s="1"/>
    </row>
    <row r="50" spans="1:19" ht="15" customHeight="1" x14ac:dyDescent="0.2">
      <c r="A50" s="190"/>
      <c r="B50" s="193"/>
      <c r="C50" s="155"/>
      <c r="D50" s="89" t="s">
        <v>20</v>
      </c>
      <c r="E50" s="87" t="s">
        <v>25</v>
      </c>
      <c r="F50" s="74"/>
      <c r="G50" s="75"/>
      <c r="H50" s="75"/>
      <c r="I50" s="75"/>
      <c r="J50" s="75"/>
      <c r="K50" s="75"/>
      <c r="L50" s="75"/>
      <c r="M50" s="75"/>
      <c r="N50" s="75"/>
      <c r="O50" s="75"/>
      <c r="P50" s="76"/>
      <c r="Q50" s="1"/>
    </row>
    <row r="51" spans="1:19" ht="15" customHeight="1" x14ac:dyDescent="0.2">
      <c r="A51" s="190"/>
      <c r="B51" s="193"/>
      <c r="C51" s="155"/>
      <c r="D51" s="159">
        <f>IF(D48&lt;=0,0,IF(ISBLANK(D48)=TRUE,0,ROUNDDOWN(D48/D53,0)))</f>
        <v>0</v>
      </c>
      <c r="E51" s="54" t="s">
        <v>22</v>
      </c>
      <c r="F51" s="57"/>
      <c r="G51" s="58"/>
      <c r="H51" s="59"/>
      <c r="I51" s="59"/>
      <c r="J51" s="59"/>
      <c r="K51" s="59"/>
      <c r="L51" s="59"/>
      <c r="M51" s="59"/>
      <c r="N51" s="59"/>
      <c r="O51" s="59"/>
      <c r="P51" s="60"/>
      <c r="Q51" s="1"/>
    </row>
    <row r="52" spans="1:19" ht="15" customHeight="1" x14ac:dyDescent="0.2">
      <c r="A52" s="190"/>
      <c r="B52" s="193"/>
      <c r="C52" s="155"/>
      <c r="D52" s="160"/>
      <c r="E52" s="52" t="s">
        <v>23</v>
      </c>
      <c r="F52" s="57"/>
      <c r="G52" s="58"/>
      <c r="H52" s="59"/>
      <c r="I52" s="59"/>
      <c r="J52" s="59"/>
      <c r="K52" s="59"/>
      <c r="L52" s="59"/>
      <c r="M52" s="59"/>
      <c r="N52" s="59"/>
      <c r="O52" s="59"/>
      <c r="P52" s="60"/>
      <c r="Q52" s="1"/>
    </row>
    <row r="53" spans="1:19" ht="15.75" customHeight="1" thickBot="1" x14ac:dyDescent="0.25">
      <c r="A53" s="191"/>
      <c r="B53" s="194"/>
      <c r="C53" s="156"/>
      <c r="D53" s="95">
        <f>IF(D48&lt;=0,0,IF(ISBLANK(D48)=TRUE,0,IF(D48&lt;50,1,IF(D48&lt;100,2,IF(D48&lt;200,3,IF(D48&lt;300,6,IF(D48&gt;=300,10,"Error")))))))</f>
        <v>0</v>
      </c>
      <c r="E53" s="52" t="s">
        <v>24</v>
      </c>
      <c r="F53" s="57"/>
      <c r="G53" s="58"/>
      <c r="H53" s="59"/>
      <c r="I53" s="59"/>
      <c r="J53" s="59"/>
      <c r="K53" s="59"/>
      <c r="L53" s="59"/>
      <c r="M53" s="59"/>
      <c r="N53" s="59"/>
      <c r="O53" s="59"/>
      <c r="P53" s="60"/>
      <c r="Q53" s="1"/>
      <c r="S53" s="93"/>
    </row>
    <row r="54" spans="1:19" ht="15" customHeight="1" x14ac:dyDescent="0.2">
      <c r="A54" s="168"/>
      <c r="B54" s="178"/>
      <c r="C54" s="154"/>
      <c r="D54" s="157"/>
      <c r="E54" s="86" t="s">
        <v>21</v>
      </c>
      <c r="F54" s="68"/>
      <c r="G54" s="69"/>
      <c r="H54" s="70"/>
      <c r="I54" s="70"/>
      <c r="J54" s="70"/>
      <c r="K54" s="70"/>
      <c r="L54" s="70"/>
      <c r="M54" s="70"/>
      <c r="N54" s="70"/>
      <c r="O54" s="70"/>
      <c r="P54" s="71"/>
      <c r="Q54" s="1"/>
    </row>
    <row r="55" spans="1:19" ht="15" customHeight="1" x14ac:dyDescent="0.2">
      <c r="A55" s="168"/>
      <c r="B55" s="178"/>
      <c r="C55" s="155"/>
      <c r="D55" s="158"/>
      <c r="E55" s="85" t="s">
        <v>60</v>
      </c>
      <c r="F55" s="72"/>
      <c r="G55" s="77"/>
      <c r="H55" s="78"/>
      <c r="I55" s="78"/>
      <c r="J55" s="78"/>
      <c r="K55" s="78"/>
      <c r="L55" s="78"/>
      <c r="M55" s="78"/>
      <c r="N55" s="78"/>
      <c r="O55" s="78"/>
      <c r="P55" s="73"/>
      <c r="Q55" s="1"/>
    </row>
    <row r="56" spans="1:19" ht="15" customHeight="1" x14ac:dyDescent="0.2">
      <c r="A56" s="168"/>
      <c r="B56" s="178"/>
      <c r="C56" s="155"/>
      <c r="D56" s="89" t="s">
        <v>20</v>
      </c>
      <c r="E56" s="87" t="s">
        <v>25</v>
      </c>
      <c r="F56" s="74"/>
      <c r="G56" s="75"/>
      <c r="H56" s="75"/>
      <c r="I56" s="75"/>
      <c r="J56" s="75"/>
      <c r="K56" s="75"/>
      <c r="L56" s="75"/>
      <c r="M56" s="75"/>
      <c r="N56" s="75"/>
      <c r="O56" s="75"/>
      <c r="P56" s="76"/>
      <c r="Q56" s="1"/>
    </row>
    <row r="57" spans="1:19" ht="15" customHeight="1" x14ac:dyDescent="0.2">
      <c r="A57" s="168"/>
      <c r="B57" s="178"/>
      <c r="C57" s="155"/>
      <c r="D57" s="159">
        <f>IF(D54&lt;=0,0,IF(ISBLANK(D54)=TRUE,0,ROUNDDOWN(D54/D59,0)))</f>
        <v>0</v>
      </c>
      <c r="E57" s="52" t="s">
        <v>22</v>
      </c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80"/>
      <c r="Q57" s="1"/>
    </row>
    <row r="58" spans="1:19" ht="15" customHeight="1" x14ac:dyDescent="0.2">
      <c r="A58" s="168"/>
      <c r="B58" s="178"/>
      <c r="C58" s="155"/>
      <c r="D58" s="160"/>
      <c r="E58" s="52" t="s">
        <v>23</v>
      </c>
      <c r="F58" s="62"/>
      <c r="G58" s="63"/>
      <c r="H58" s="64"/>
      <c r="I58" s="64"/>
      <c r="J58" s="64"/>
      <c r="K58" s="64"/>
      <c r="L58" s="64"/>
      <c r="M58" s="64"/>
      <c r="N58" s="64"/>
      <c r="O58" s="64"/>
      <c r="P58" s="65"/>
      <c r="Q58" s="1"/>
    </row>
    <row r="59" spans="1:19" ht="15.75" customHeight="1" thickBot="1" x14ac:dyDescent="0.25">
      <c r="A59" s="168"/>
      <c r="B59" s="178"/>
      <c r="C59" s="156"/>
      <c r="D59" s="95">
        <f>IF(D54&lt;=0,0,IF(ISBLANK(D54)=TRUE,0,IF(D54&lt;50,1,IF(D54&lt;100,2,IF(D54&lt;200,3,IF(D54&lt;300,6,IF(D54&gt;=300,10,"Error")))))))</f>
        <v>0</v>
      </c>
      <c r="E59" s="53" t="s">
        <v>24</v>
      </c>
      <c r="F59" s="61"/>
      <c r="G59" s="58"/>
      <c r="H59" s="59"/>
      <c r="I59" s="59"/>
      <c r="J59" s="59"/>
      <c r="K59" s="59"/>
      <c r="L59" s="59"/>
      <c r="M59" s="59"/>
      <c r="N59" s="59"/>
      <c r="O59" s="59"/>
      <c r="P59" s="66"/>
      <c r="Q59" s="1"/>
    </row>
    <row r="60" spans="1:19" ht="15" customHeight="1" x14ac:dyDescent="0.2">
      <c r="A60" s="168"/>
      <c r="B60" s="178"/>
      <c r="C60" s="154"/>
      <c r="D60" s="157"/>
      <c r="E60" s="88" t="s">
        <v>21</v>
      </c>
      <c r="F60" s="68"/>
      <c r="G60" s="69"/>
      <c r="H60" s="70"/>
      <c r="I60" s="70"/>
      <c r="J60" s="70"/>
      <c r="K60" s="70"/>
      <c r="L60" s="70"/>
      <c r="M60" s="70"/>
      <c r="N60" s="70"/>
      <c r="O60" s="70"/>
      <c r="P60" s="71"/>
      <c r="Q60" s="1"/>
    </row>
    <row r="61" spans="1:19" ht="15" customHeight="1" x14ac:dyDescent="0.2">
      <c r="A61" s="168"/>
      <c r="B61" s="178"/>
      <c r="C61" s="155"/>
      <c r="D61" s="158"/>
      <c r="E61" s="85" t="s">
        <v>60</v>
      </c>
      <c r="F61" s="72"/>
      <c r="G61" s="77"/>
      <c r="H61" s="78"/>
      <c r="I61" s="78"/>
      <c r="J61" s="78"/>
      <c r="K61" s="78"/>
      <c r="L61" s="78"/>
      <c r="M61" s="78"/>
      <c r="N61" s="78"/>
      <c r="O61" s="78"/>
      <c r="P61" s="73"/>
      <c r="Q61" s="1"/>
    </row>
    <row r="62" spans="1:19" ht="15" customHeight="1" x14ac:dyDescent="0.2">
      <c r="A62" s="168"/>
      <c r="B62" s="178"/>
      <c r="C62" s="155"/>
      <c r="D62" s="89" t="s">
        <v>20</v>
      </c>
      <c r="E62" s="87" t="s">
        <v>25</v>
      </c>
      <c r="F62" s="74"/>
      <c r="G62" s="75"/>
      <c r="H62" s="75"/>
      <c r="I62" s="75"/>
      <c r="J62" s="75"/>
      <c r="K62" s="75"/>
      <c r="L62" s="75"/>
      <c r="M62" s="75"/>
      <c r="N62" s="75"/>
      <c r="O62" s="75"/>
      <c r="P62" s="76"/>
      <c r="Q62" s="1"/>
    </row>
    <row r="63" spans="1:19" ht="15" customHeight="1" x14ac:dyDescent="0.2">
      <c r="A63" s="168"/>
      <c r="B63" s="178"/>
      <c r="C63" s="155"/>
      <c r="D63" s="159">
        <f>IF(D60&lt;=0,0,IF(ISBLANK(D60)=TRUE,0,ROUNDDOWN(D60/D65,0)))</f>
        <v>0</v>
      </c>
      <c r="E63" s="52" t="s">
        <v>22</v>
      </c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7"/>
      <c r="Q63" s="1"/>
    </row>
    <row r="64" spans="1:19" ht="15" customHeight="1" x14ac:dyDescent="0.2">
      <c r="A64" s="168"/>
      <c r="B64" s="178"/>
      <c r="C64" s="155"/>
      <c r="D64" s="160"/>
      <c r="E64" s="52" t="s">
        <v>23</v>
      </c>
      <c r="F64" s="62"/>
      <c r="G64" s="90"/>
      <c r="H64" s="90"/>
      <c r="I64" s="90"/>
      <c r="J64" s="90"/>
      <c r="K64" s="90"/>
      <c r="L64" s="90"/>
      <c r="M64" s="90"/>
      <c r="N64" s="90"/>
      <c r="O64" s="90"/>
      <c r="P64" s="67"/>
      <c r="Q64" s="1"/>
    </row>
    <row r="65" spans="1:17" ht="15.75" customHeight="1" thickBot="1" x14ac:dyDescent="0.25">
      <c r="A65" s="168"/>
      <c r="B65" s="178"/>
      <c r="C65" s="156"/>
      <c r="D65" s="95">
        <f>IF(D60&lt;=0,0,IF(ISBLANK(D60)=TRUE,0,IF(D60&lt;50,1,IF(D60&lt;100,2,IF(D60&lt;200,3,IF(D60&lt;300,6,IF(D60&gt;=300,10,"Error")))))))</f>
        <v>0</v>
      </c>
      <c r="E65" s="53" t="s">
        <v>24</v>
      </c>
      <c r="F65" s="62"/>
      <c r="G65" s="63"/>
      <c r="H65" s="64"/>
      <c r="I65" s="64"/>
      <c r="J65" s="64"/>
      <c r="K65" s="64"/>
      <c r="L65" s="64"/>
      <c r="M65" s="64"/>
      <c r="N65" s="64"/>
      <c r="O65" s="64"/>
      <c r="P65" s="65"/>
      <c r="Q65" s="1"/>
    </row>
    <row r="66" spans="1:17" ht="15" customHeight="1" x14ac:dyDescent="0.2">
      <c r="A66" s="168"/>
      <c r="B66" s="178"/>
      <c r="C66" s="171"/>
      <c r="D66" s="157"/>
      <c r="E66" s="88" t="s">
        <v>21</v>
      </c>
      <c r="F66" s="68"/>
      <c r="G66" s="69"/>
      <c r="H66" s="70"/>
      <c r="I66" s="70"/>
      <c r="J66" s="70"/>
      <c r="K66" s="70"/>
      <c r="L66" s="70"/>
      <c r="M66" s="70"/>
      <c r="N66" s="70"/>
      <c r="O66" s="70"/>
      <c r="P66" s="71"/>
      <c r="Q66" s="1"/>
    </row>
    <row r="67" spans="1:17" ht="15" customHeight="1" x14ac:dyDescent="0.2">
      <c r="A67" s="168"/>
      <c r="B67" s="178"/>
      <c r="C67" s="172"/>
      <c r="D67" s="158"/>
      <c r="E67" s="85" t="s">
        <v>60</v>
      </c>
      <c r="F67" s="72"/>
      <c r="G67" s="77"/>
      <c r="H67" s="78"/>
      <c r="I67" s="78"/>
      <c r="J67" s="78"/>
      <c r="K67" s="78"/>
      <c r="L67" s="78"/>
      <c r="M67" s="78"/>
      <c r="N67" s="78"/>
      <c r="O67" s="78"/>
      <c r="P67" s="73"/>
      <c r="Q67" s="1"/>
    </row>
    <row r="68" spans="1:17" ht="15" customHeight="1" x14ac:dyDescent="0.2">
      <c r="A68" s="168"/>
      <c r="B68" s="178"/>
      <c r="C68" s="172"/>
      <c r="D68" s="89" t="s">
        <v>20</v>
      </c>
      <c r="E68" s="87" t="s">
        <v>25</v>
      </c>
      <c r="F68" s="74"/>
      <c r="G68" s="75"/>
      <c r="H68" s="75"/>
      <c r="I68" s="75"/>
      <c r="J68" s="75"/>
      <c r="K68" s="75"/>
      <c r="L68" s="75"/>
      <c r="M68" s="75"/>
      <c r="N68" s="75"/>
      <c r="O68" s="75"/>
      <c r="P68" s="76"/>
      <c r="Q68" s="1"/>
    </row>
    <row r="69" spans="1:17" ht="15" customHeight="1" x14ac:dyDescent="0.2">
      <c r="A69" s="168"/>
      <c r="B69" s="178"/>
      <c r="C69" s="172"/>
      <c r="D69" s="159">
        <f>IF(D66&lt;=0,0,IF(ISBLANK(D66)=TRUE,0,ROUNDDOWN(D66/D71,0)))</f>
        <v>0</v>
      </c>
      <c r="E69" s="52" t="s">
        <v>22</v>
      </c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2"/>
      <c r="Q69" s="1"/>
    </row>
    <row r="70" spans="1:17" ht="15" customHeight="1" x14ac:dyDescent="0.2">
      <c r="A70" s="168"/>
      <c r="B70" s="178"/>
      <c r="C70" s="172"/>
      <c r="D70" s="160"/>
      <c r="E70" s="52" t="s">
        <v>23</v>
      </c>
      <c r="F70" s="81"/>
      <c r="G70" s="91"/>
      <c r="H70" s="91"/>
      <c r="I70" s="91"/>
      <c r="J70" s="91"/>
      <c r="K70" s="91"/>
      <c r="L70" s="91"/>
      <c r="M70" s="91"/>
      <c r="N70" s="91"/>
      <c r="O70" s="91"/>
      <c r="P70" s="82"/>
      <c r="Q70" s="1"/>
    </row>
    <row r="71" spans="1:17" ht="15.75" customHeight="1" thickBot="1" x14ac:dyDescent="0.25">
      <c r="A71" s="168"/>
      <c r="B71" s="178"/>
      <c r="C71" s="173"/>
      <c r="D71" s="95">
        <f>IF(D66&lt;=0,0,IF(ISBLANK(D66)=TRUE,0,IF(D66&lt;50,1,IF(D66&lt;100,2,IF(D66&lt;200,3,IF(D66&lt;300,6,IF(D66&gt;=300,10,"Error")))))))</f>
        <v>0</v>
      </c>
      <c r="E71" s="53" t="s">
        <v>24</v>
      </c>
      <c r="F71" s="62"/>
      <c r="G71" s="63"/>
      <c r="H71" s="64"/>
      <c r="I71" s="64"/>
      <c r="J71" s="64"/>
      <c r="K71" s="64"/>
      <c r="L71" s="64"/>
      <c r="M71" s="64"/>
      <c r="N71" s="64"/>
      <c r="O71" s="64"/>
      <c r="P71" s="65"/>
      <c r="Q71" s="1"/>
    </row>
    <row r="72" spans="1:17" ht="17.25" customHeight="1" x14ac:dyDescent="0.2">
      <c r="A72" s="168"/>
      <c r="B72" s="178"/>
      <c r="C72" s="171"/>
      <c r="D72" s="157"/>
      <c r="E72" s="88" t="s">
        <v>21</v>
      </c>
      <c r="F72" s="68"/>
      <c r="G72" s="69"/>
      <c r="H72" s="70"/>
      <c r="I72" s="70"/>
      <c r="J72" s="70"/>
      <c r="K72" s="70"/>
      <c r="L72" s="70"/>
      <c r="M72" s="70"/>
      <c r="N72" s="70"/>
      <c r="O72" s="70"/>
      <c r="P72" s="71"/>
      <c r="Q72" s="1"/>
    </row>
    <row r="73" spans="1:17" ht="15" customHeight="1" x14ac:dyDescent="0.2">
      <c r="A73" s="168"/>
      <c r="B73" s="178"/>
      <c r="C73" s="172"/>
      <c r="D73" s="158"/>
      <c r="E73" s="85" t="s">
        <v>60</v>
      </c>
      <c r="F73" s="72"/>
      <c r="G73" s="77"/>
      <c r="H73" s="78"/>
      <c r="I73" s="78"/>
      <c r="J73" s="78"/>
      <c r="K73" s="78"/>
      <c r="L73" s="78"/>
      <c r="M73" s="78"/>
      <c r="N73" s="78"/>
      <c r="O73" s="78"/>
      <c r="P73" s="73"/>
      <c r="Q73" s="1"/>
    </row>
    <row r="74" spans="1:17" ht="15" customHeight="1" x14ac:dyDescent="0.2">
      <c r="A74" s="168"/>
      <c r="B74" s="178"/>
      <c r="C74" s="172"/>
      <c r="D74" s="89" t="s">
        <v>20</v>
      </c>
      <c r="E74" s="87" t="s">
        <v>25</v>
      </c>
      <c r="F74" s="74"/>
      <c r="G74" s="75"/>
      <c r="H74" s="75"/>
      <c r="I74" s="75"/>
      <c r="J74" s="75"/>
      <c r="K74" s="75"/>
      <c r="L74" s="75"/>
      <c r="M74" s="75"/>
      <c r="N74" s="75"/>
      <c r="O74" s="75"/>
      <c r="P74" s="76"/>
      <c r="Q74" s="1"/>
    </row>
    <row r="75" spans="1:17" ht="15" customHeight="1" x14ac:dyDescent="0.2">
      <c r="A75" s="168"/>
      <c r="B75" s="178"/>
      <c r="C75" s="172"/>
      <c r="D75" s="159">
        <f>IF(D72&lt;=0,0,IF(ISBLANK(D72)=TRUE,0,ROUNDDOWN(D72/D77,0)))</f>
        <v>0</v>
      </c>
      <c r="E75" s="52" t="s">
        <v>22</v>
      </c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4"/>
      <c r="Q75" s="1"/>
    </row>
    <row r="76" spans="1:17" ht="15" customHeight="1" x14ac:dyDescent="0.2">
      <c r="A76" s="168"/>
      <c r="B76" s="178"/>
      <c r="C76" s="172"/>
      <c r="D76" s="160"/>
      <c r="E76" s="52" t="s">
        <v>23</v>
      </c>
      <c r="F76" s="83"/>
      <c r="G76" s="92"/>
      <c r="H76" s="92"/>
      <c r="I76" s="92"/>
      <c r="J76" s="92"/>
      <c r="K76" s="92"/>
      <c r="L76" s="92"/>
      <c r="M76" s="92"/>
      <c r="N76" s="92"/>
      <c r="O76" s="92"/>
      <c r="P76" s="84"/>
      <c r="Q76" s="1"/>
    </row>
    <row r="77" spans="1:17" ht="15" customHeight="1" x14ac:dyDescent="0.2">
      <c r="A77" s="168"/>
      <c r="B77" s="178"/>
      <c r="C77" s="173"/>
      <c r="D77" s="95">
        <f>IF(D72&lt;=0,0,IF(ISBLANK(D72)=TRUE,0,IF(D72&lt;50,1,IF(D72&lt;100,2,IF(D72&lt;200,3,IF(D72&lt;300,6,IF(D72&gt;=300,10,"Error")))))))</f>
        <v>0</v>
      </c>
      <c r="E77" s="94" t="s">
        <v>24</v>
      </c>
      <c r="F77" s="62"/>
      <c r="G77" s="63"/>
      <c r="H77" s="64"/>
      <c r="I77" s="64"/>
      <c r="J77" s="64"/>
      <c r="K77" s="64"/>
      <c r="L77" s="64"/>
      <c r="M77" s="64"/>
      <c r="N77" s="64"/>
      <c r="O77" s="64"/>
      <c r="P77" s="65"/>
      <c r="Q77" s="1"/>
    </row>
    <row r="78" spans="1:17" x14ac:dyDescent="0.2">
      <c r="A78" s="6"/>
      <c r="B78" s="6"/>
      <c r="C78" s="6"/>
      <c r="D78" s="123"/>
      <c r="E78" s="6"/>
      <c r="F78" s="124"/>
      <c r="G78" s="6"/>
      <c r="H78" s="6"/>
      <c r="I78" s="6"/>
      <c r="J78" s="6"/>
      <c r="K78" s="6"/>
      <c r="L78" s="1"/>
      <c r="M78" s="1"/>
      <c r="N78" s="6"/>
      <c r="O78" s="6"/>
      <c r="P78" s="6"/>
      <c r="Q78" s="1"/>
    </row>
  </sheetData>
  <mergeCells count="46">
    <mergeCell ref="B66:B71"/>
    <mergeCell ref="B72:B77"/>
    <mergeCell ref="A60:A65"/>
    <mergeCell ref="A66:A71"/>
    <mergeCell ref="D1:D2"/>
    <mergeCell ref="D4:D5"/>
    <mergeCell ref="A54:A59"/>
    <mergeCell ref="B54:B59"/>
    <mergeCell ref="B60:B65"/>
    <mergeCell ref="A1:A2"/>
    <mergeCell ref="B1:B2"/>
    <mergeCell ref="C1:C2"/>
    <mergeCell ref="A48:A53"/>
    <mergeCell ref="B48:B53"/>
    <mergeCell ref="M46:M47"/>
    <mergeCell ref="N46:N47"/>
    <mergeCell ref="O46:O47"/>
    <mergeCell ref="A72:A77"/>
    <mergeCell ref="G46:G47"/>
    <mergeCell ref="H46:H47"/>
    <mergeCell ref="I46:I47"/>
    <mergeCell ref="J46:J47"/>
    <mergeCell ref="C66:C71"/>
    <mergeCell ref="A46:A47"/>
    <mergeCell ref="B46:B47"/>
    <mergeCell ref="D66:D67"/>
    <mergeCell ref="D69:D70"/>
    <mergeCell ref="C72:C77"/>
    <mergeCell ref="D72:D73"/>
    <mergeCell ref="D75:D76"/>
    <mergeCell ref="P46:P47"/>
    <mergeCell ref="F46:F47"/>
    <mergeCell ref="C48:C53"/>
    <mergeCell ref="C54:C59"/>
    <mergeCell ref="C60:C65"/>
    <mergeCell ref="D48:D49"/>
    <mergeCell ref="D51:D52"/>
    <mergeCell ref="D54:D55"/>
    <mergeCell ref="C46:C47"/>
    <mergeCell ref="D46:D47"/>
    <mergeCell ref="E46:E47"/>
    <mergeCell ref="D57:D58"/>
    <mergeCell ref="D60:D61"/>
    <mergeCell ref="D63:D64"/>
    <mergeCell ref="K46:K47"/>
    <mergeCell ref="L46:L47"/>
  </mergeCells>
  <phoneticPr fontId="13" type="noConversion"/>
  <dataValidations count="4">
    <dataValidation type="date" operator="greaterThan" allowBlank="1" showInputMessage="1" showErrorMessage="1" errorTitle="Wrong Format" error="mm/dd/yyyy or CTRL + ; " sqref="A9:A45" xr:uid="{FC487CA0-6E29-4541-A454-DA44246488A8}">
      <formula1>45658</formula1>
    </dataValidation>
    <dataValidation type="date" operator="greaterThan" allowBlank="1" showInputMessage="1" showErrorMessage="1" errorTitle="Wrong Format" error="Use the following format: mm/dd/yyyy_x000a_Or hit the CTRL and ; keys at the same time to enter Today's Date." sqref="A7:A8" xr:uid="{BA2CFEA9-38CB-4809-B4A6-485B6A614B17}">
      <formula1>45658</formula1>
    </dataValidation>
    <dataValidation type="list" allowBlank="1" showInputMessage="1" showErrorMessage="1" sqref="A48 A72 A66 A54 A60 D7:D45" xr:uid="{CCB11BEF-C1BC-44B5-B20C-25178AFC95F3}">
      <formula1>$F$2:$O$2</formula1>
    </dataValidation>
    <dataValidation type="date" operator="greaterThan" allowBlank="1" showInputMessage="1" showErrorMessage="1" sqref="F49:P49 F55:P55 F61:P61 F67:P67 F73:P73" xr:uid="{BA38F0EF-0CA9-4246-9E5F-560BBF67C827}">
      <formula1>45658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8521880-1B29-4D97-976F-DFC9C1D47340}">
          <x14:formula1>
            <xm:f>Variables!$A$2:$A$66</xm:f>
          </x14:formula1>
          <xm:sqref>F74:P74 F50:P50 F56:P56 F62:P62 F68:P68 E7:E46 G8:G45</xm:sqref>
        </x14:dataValidation>
        <x14:dataValidation type="list" allowBlank="1" showInputMessage="1" showErrorMessage="1" xr:uid="{9F25EDC5-070F-4A26-9B79-A9571D11212A}">
          <x14:formula1>
            <xm:f>Variables!$B$2:$B$14</xm:f>
          </x14:formula1>
          <xm:sqref>B66 B72 B48 B54 B60 B7:B45</xm:sqref>
        </x14:dataValidation>
        <x14:dataValidation type="list" allowBlank="1" showInputMessage="1" showErrorMessage="1" xr:uid="{FE802ECA-77C6-4AD6-85F4-828C064A73AC}">
          <x14:formula1>
            <xm:f>Variables!$D$2:$D$17</xm:f>
          </x14:formula1>
          <xm:sqref>F4:O4</xm:sqref>
        </x14:dataValidation>
        <x14:dataValidation type="list" allowBlank="1" showInputMessage="1" showErrorMessage="1" xr:uid="{C75E7131-F3A2-4279-9DF3-297FB56C7D42}">
          <x14:formula1>
            <xm:f>Variables!$C$2:$C$30</xm:f>
          </x14:formula1>
          <xm:sqref>F72:P72 C7:C45 F66:P66 F60:P60 F54:P54 F48:P48</xm:sqref>
        </x14:dataValidation>
        <x14:dataValidation type="list" allowBlank="1" showInputMessage="1" showErrorMessage="1" xr:uid="{982664DF-2EF8-49B1-950C-595F77BDA5B6}">
          <x14:formula1>
            <xm:f>Variables!$A$2:$A$70</xm:f>
          </x14:formula1>
          <xm:sqref>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C796-EC9C-40AA-82AC-AC950D905C99}">
  <sheetPr codeName="Sheet2"/>
  <dimension ref="A1:D70"/>
  <sheetViews>
    <sheetView workbookViewId="0">
      <selection activeCell="H15" sqref="H15"/>
    </sheetView>
  </sheetViews>
  <sheetFormatPr baseColWidth="10" defaultColWidth="8.83203125" defaultRowHeight="15" x14ac:dyDescent="0.2"/>
  <cols>
    <col min="1" max="1" width="12.5" bestFit="1" customWidth="1"/>
    <col min="2" max="2" width="13.83203125" bestFit="1" customWidth="1"/>
    <col min="3" max="3" width="10.83203125" bestFit="1" customWidth="1"/>
  </cols>
  <sheetData>
    <row r="1" spans="1:4" x14ac:dyDescent="0.2">
      <c r="A1" t="s">
        <v>25</v>
      </c>
      <c r="B1" t="s">
        <v>27</v>
      </c>
      <c r="C1" t="s">
        <v>35</v>
      </c>
      <c r="D1" t="s">
        <v>78</v>
      </c>
    </row>
    <row r="2" spans="1:4" x14ac:dyDescent="0.2">
      <c r="A2" s="4">
        <v>7.291666666666667</v>
      </c>
      <c r="B2" t="s">
        <v>33</v>
      </c>
      <c r="C2" s="149" t="s">
        <v>88</v>
      </c>
      <c r="D2" t="s">
        <v>33</v>
      </c>
    </row>
    <row r="3" spans="1:4" x14ac:dyDescent="0.2">
      <c r="A3" s="4">
        <f>A2+TIME(0,15,0)</f>
        <v>7.3020833333333339</v>
      </c>
      <c r="B3" t="s">
        <v>28</v>
      </c>
      <c r="C3" s="149" t="s">
        <v>38</v>
      </c>
      <c r="D3" t="s">
        <v>28</v>
      </c>
    </row>
    <row r="4" spans="1:4" x14ac:dyDescent="0.2">
      <c r="A4" s="4">
        <f t="shared" ref="A4:A69" si="0">A3+TIME(0,15,0)</f>
        <v>7.3125000000000009</v>
      </c>
      <c r="B4" t="s">
        <v>29</v>
      </c>
      <c r="C4" s="149" t="s">
        <v>79</v>
      </c>
      <c r="D4" t="s">
        <v>30</v>
      </c>
    </row>
    <row r="5" spans="1:4" x14ac:dyDescent="0.2">
      <c r="A5" s="4">
        <f t="shared" si="0"/>
        <v>7.3229166666666679</v>
      </c>
      <c r="B5" t="s">
        <v>30</v>
      </c>
      <c r="C5" s="149" t="s">
        <v>40</v>
      </c>
      <c r="D5" t="s">
        <v>32</v>
      </c>
    </row>
    <row r="6" spans="1:4" x14ac:dyDescent="0.2">
      <c r="A6" s="4">
        <f t="shared" si="0"/>
        <v>7.3333333333333348</v>
      </c>
      <c r="B6" t="s">
        <v>31</v>
      </c>
      <c r="C6" s="149" t="s">
        <v>34</v>
      </c>
    </row>
    <row r="7" spans="1:4" x14ac:dyDescent="0.2">
      <c r="A7" s="4">
        <f t="shared" si="0"/>
        <v>7.3437500000000018</v>
      </c>
      <c r="B7" t="s">
        <v>32</v>
      </c>
      <c r="C7" s="149" t="s">
        <v>62</v>
      </c>
    </row>
    <row r="8" spans="1:4" x14ac:dyDescent="0.2">
      <c r="A8" s="4">
        <f t="shared" si="0"/>
        <v>7.3541666666666687</v>
      </c>
      <c r="B8" t="s">
        <v>68</v>
      </c>
      <c r="C8" s="149" t="s">
        <v>39</v>
      </c>
    </row>
    <row r="9" spans="1:4" x14ac:dyDescent="0.2">
      <c r="A9" s="4">
        <f t="shared" si="0"/>
        <v>7.3645833333333357</v>
      </c>
      <c r="B9" t="s">
        <v>69</v>
      </c>
      <c r="C9" s="149" t="s">
        <v>36</v>
      </c>
    </row>
    <row r="10" spans="1:4" x14ac:dyDescent="0.2">
      <c r="A10" s="4">
        <f t="shared" si="0"/>
        <v>7.3750000000000027</v>
      </c>
      <c r="C10" s="149" t="s">
        <v>80</v>
      </c>
    </row>
    <row r="11" spans="1:4" x14ac:dyDescent="0.2">
      <c r="A11" s="4">
        <f t="shared" si="0"/>
        <v>7.3854166666666696</v>
      </c>
      <c r="C11" s="149" t="s">
        <v>85</v>
      </c>
    </row>
    <row r="12" spans="1:4" x14ac:dyDescent="0.2">
      <c r="A12" s="4">
        <f t="shared" si="0"/>
        <v>7.3958333333333366</v>
      </c>
      <c r="C12" s="149" t="s">
        <v>86</v>
      </c>
    </row>
    <row r="13" spans="1:4" x14ac:dyDescent="0.2">
      <c r="A13" s="4">
        <f t="shared" si="0"/>
        <v>7.4062500000000036</v>
      </c>
      <c r="C13" s="149" t="s">
        <v>41</v>
      </c>
    </row>
    <row r="14" spans="1:4" x14ac:dyDescent="0.2">
      <c r="A14" s="4">
        <f t="shared" si="0"/>
        <v>7.4166666666666705</v>
      </c>
      <c r="C14" s="149" t="s">
        <v>81</v>
      </c>
    </row>
    <row r="15" spans="1:4" x14ac:dyDescent="0.2">
      <c r="A15" s="4">
        <f t="shared" si="0"/>
        <v>7.4270833333333375</v>
      </c>
      <c r="C15" s="149" t="s">
        <v>70</v>
      </c>
    </row>
    <row r="16" spans="1:4" x14ac:dyDescent="0.2">
      <c r="A16" s="4">
        <f t="shared" si="0"/>
        <v>7.4375000000000044</v>
      </c>
      <c r="C16" s="149" t="s">
        <v>84</v>
      </c>
    </row>
    <row r="17" spans="1:3" x14ac:dyDescent="0.2">
      <c r="A17" s="4">
        <f t="shared" si="0"/>
        <v>7.4479166666666714</v>
      </c>
      <c r="C17" s="149" t="s">
        <v>82</v>
      </c>
    </row>
    <row r="18" spans="1:3" x14ac:dyDescent="0.2">
      <c r="A18" s="4">
        <f t="shared" si="0"/>
        <v>7.4583333333333384</v>
      </c>
      <c r="C18" s="149" t="s">
        <v>67</v>
      </c>
    </row>
    <row r="19" spans="1:3" x14ac:dyDescent="0.2">
      <c r="A19" s="4">
        <f t="shared" si="0"/>
        <v>7.4687500000000053</v>
      </c>
      <c r="C19" s="149" t="s">
        <v>61</v>
      </c>
    </row>
    <row r="20" spans="1:3" x14ac:dyDescent="0.2">
      <c r="A20" s="4">
        <f t="shared" si="0"/>
        <v>7.4791666666666723</v>
      </c>
      <c r="C20" s="149" t="s">
        <v>89</v>
      </c>
    </row>
    <row r="21" spans="1:3" x14ac:dyDescent="0.2">
      <c r="A21" s="4">
        <f t="shared" si="0"/>
        <v>7.4895833333333393</v>
      </c>
      <c r="C21" s="149" t="s">
        <v>42</v>
      </c>
    </row>
    <row r="22" spans="1:3" x14ac:dyDescent="0.2">
      <c r="A22" s="4">
        <f t="shared" si="0"/>
        <v>7.5000000000000062</v>
      </c>
      <c r="C22" s="149" t="s">
        <v>83</v>
      </c>
    </row>
    <row r="23" spans="1:3" x14ac:dyDescent="0.2">
      <c r="A23" s="4">
        <f t="shared" si="0"/>
        <v>7.5104166666666732</v>
      </c>
      <c r="C23" s="149" t="s">
        <v>63</v>
      </c>
    </row>
    <row r="24" spans="1:3" x14ac:dyDescent="0.2">
      <c r="A24" s="4">
        <f t="shared" si="0"/>
        <v>7.5208333333333401</v>
      </c>
      <c r="C24" s="149" t="s">
        <v>87</v>
      </c>
    </row>
    <row r="25" spans="1:3" x14ac:dyDescent="0.2">
      <c r="A25" s="4">
        <f t="shared" si="0"/>
        <v>7.5312500000000071</v>
      </c>
      <c r="C25" s="149" t="s">
        <v>37</v>
      </c>
    </row>
    <row r="26" spans="1:3" x14ac:dyDescent="0.2">
      <c r="A26" s="4">
        <f t="shared" si="0"/>
        <v>7.5416666666666741</v>
      </c>
    </row>
    <row r="27" spans="1:3" x14ac:dyDescent="0.2">
      <c r="A27" s="4">
        <f t="shared" si="0"/>
        <v>7.552083333333341</v>
      </c>
    </row>
    <row r="28" spans="1:3" x14ac:dyDescent="0.2">
      <c r="A28" s="4">
        <f t="shared" si="0"/>
        <v>7.562500000000008</v>
      </c>
    </row>
    <row r="29" spans="1:3" x14ac:dyDescent="0.2">
      <c r="A29" s="4">
        <f t="shared" si="0"/>
        <v>7.572916666666675</v>
      </c>
    </row>
    <row r="30" spans="1:3" x14ac:dyDescent="0.2">
      <c r="A30" s="4">
        <f t="shared" si="0"/>
        <v>7.5833333333333419</v>
      </c>
    </row>
    <row r="31" spans="1:3" x14ac:dyDescent="0.2">
      <c r="A31" s="4">
        <f t="shared" si="0"/>
        <v>7.5937500000000089</v>
      </c>
    </row>
    <row r="32" spans="1:3" x14ac:dyDescent="0.2">
      <c r="A32" s="4">
        <f t="shared" si="0"/>
        <v>7.6041666666666758</v>
      </c>
    </row>
    <row r="33" spans="1:1" x14ac:dyDescent="0.2">
      <c r="A33" s="4">
        <f t="shared" si="0"/>
        <v>7.6145833333333428</v>
      </c>
    </row>
    <row r="34" spans="1:1" x14ac:dyDescent="0.2">
      <c r="A34" s="4">
        <f t="shared" si="0"/>
        <v>7.6250000000000098</v>
      </c>
    </row>
    <row r="35" spans="1:1" x14ac:dyDescent="0.2">
      <c r="A35" s="4">
        <f t="shared" si="0"/>
        <v>7.6354166666666767</v>
      </c>
    </row>
    <row r="36" spans="1:1" x14ac:dyDescent="0.2">
      <c r="A36" s="4">
        <f t="shared" si="0"/>
        <v>7.6458333333333437</v>
      </c>
    </row>
    <row r="37" spans="1:1" x14ac:dyDescent="0.2">
      <c r="A37" s="4">
        <f t="shared" si="0"/>
        <v>7.6562500000000107</v>
      </c>
    </row>
    <row r="38" spans="1:1" x14ac:dyDescent="0.2">
      <c r="A38" s="4">
        <f t="shared" si="0"/>
        <v>7.6666666666666776</v>
      </c>
    </row>
    <row r="39" spans="1:1" x14ac:dyDescent="0.2">
      <c r="A39" s="4">
        <f t="shared" si="0"/>
        <v>7.6770833333333446</v>
      </c>
    </row>
    <row r="40" spans="1:1" x14ac:dyDescent="0.2">
      <c r="A40" s="4">
        <f t="shared" si="0"/>
        <v>7.6875000000000115</v>
      </c>
    </row>
    <row r="41" spans="1:1" x14ac:dyDescent="0.2">
      <c r="A41" s="4">
        <f t="shared" si="0"/>
        <v>7.6979166666666785</v>
      </c>
    </row>
    <row r="42" spans="1:1" x14ac:dyDescent="0.2">
      <c r="A42" s="4">
        <f t="shared" si="0"/>
        <v>7.7083333333333455</v>
      </c>
    </row>
    <row r="43" spans="1:1" x14ac:dyDescent="0.2">
      <c r="A43" s="4">
        <f t="shared" si="0"/>
        <v>7.7187500000000124</v>
      </c>
    </row>
    <row r="44" spans="1:1" x14ac:dyDescent="0.2">
      <c r="A44" s="4">
        <f t="shared" si="0"/>
        <v>7.7291666666666794</v>
      </c>
    </row>
    <row r="45" spans="1:1" x14ac:dyDescent="0.2">
      <c r="A45" s="4">
        <f t="shared" si="0"/>
        <v>7.7395833333333464</v>
      </c>
    </row>
    <row r="46" spans="1:1" x14ac:dyDescent="0.2">
      <c r="A46" s="4">
        <f t="shared" si="0"/>
        <v>7.7500000000000133</v>
      </c>
    </row>
    <row r="47" spans="1:1" x14ac:dyDescent="0.2">
      <c r="A47" s="4">
        <f t="shared" si="0"/>
        <v>7.7604166666666803</v>
      </c>
    </row>
    <row r="48" spans="1:1" x14ac:dyDescent="0.2">
      <c r="A48" s="4">
        <f t="shared" si="0"/>
        <v>7.7708333333333472</v>
      </c>
    </row>
    <row r="49" spans="1:1" x14ac:dyDescent="0.2">
      <c r="A49" s="4">
        <f t="shared" si="0"/>
        <v>7.7812500000000142</v>
      </c>
    </row>
    <row r="50" spans="1:1" x14ac:dyDescent="0.2">
      <c r="A50" s="4">
        <f t="shared" si="0"/>
        <v>7.7916666666666812</v>
      </c>
    </row>
    <row r="51" spans="1:1" x14ac:dyDescent="0.2">
      <c r="A51" s="4">
        <f t="shared" si="0"/>
        <v>7.8020833333333481</v>
      </c>
    </row>
    <row r="52" spans="1:1" x14ac:dyDescent="0.2">
      <c r="A52" s="4">
        <f t="shared" si="0"/>
        <v>7.8125000000000151</v>
      </c>
    </row>
    <row r="53" spans="1:1" x14ac:dyDescent="0.2">
      <c r="A53" s="4">
        <f t="shared" si="0"/>
        <v>7.8229166666666821</v>
      </c>
    </row>
    <row r="54" spans="1:1" x14ac:dyDescent="0.2">
      <c r="A54" s="4">
        <f t="shared" si="0"/>
        <v>7.833333333333349</v>
      </c>
    </row>
    <row r="55" spans="1:1" x14ac:dyDescent="0.2">
      <c r="A55" s="4">
        <f t="shared" si="0"/>
        <v>7.843750000000016</v>
      </c>
    </row>
    <row r="56" spans="1:1" x14ac:dyDescent="0.2">
      <c r="A56" s="4">
        <f t="shared" si="0"/>
        <v>7.8541666666666829</v>
      </c>
    </row>
    <row r="57" spans="1:1" x14ac:dyDescent="0.2">
      <c r="A57" s="4">
        <f t="shared" si="0"/>
        <v>7.8645833333333499</v>
      </c>
    </row>
    <row r="58" spans="1:1" x14ac:dyDescent="0.2">
      <c r="A58" s="4">
        <f t="shared" si="0"/>
        <v>7.8750000000000169</v>
      </c>
    </row>
    <row r="59" spans="1:1" x14ac:dyDescent="0.2">
      <c r="A59" s="4">
        <f t="shared" si="0"/>
        <v>7.8854166666666838</v>
      </c>
    </row>
    <row r="60" spans="1:1" x14ac:dyDescent="0.2">
      <c r="A60" s="4">
        <f t="shared" si="0"/>
        <v>7.8958333333333508</v>
      </c>
    </row>
    <row r="61" spans="1:1" x14ac:dyDescent="0.2">
      <c r="A61" s="4">
        <f t="shared" si="0"/>
        <v>7.9062500000000178</v>
      </c>
    </row>
    <row r="62" spans="1:1" x14ac:dyDescent="0.2">
      <c r="A62" s="4">
        <f t="shared" si="0"/>
        <v>7.9166666666666847</v>
      </c>
    </row>
    <row r="63" spans="1:1" x14ac:dyDescent="0.2">
      <c r="A63" s="4">
        <f t="shared" si="0"/>
        <v>7.9270833333333517</v>
      </c>
    </row>
    <row r="64" spans="1:1" x14ac:dyDescent="0.2">
      <c r="A64" s="4">
        <f t="shared" si="0"/>
        <v>7.9375000000000187</v>
      </c>
    </row>
    <row r="65" spans="1:1" x14ac:dyDescent="0.2">
      <c r="A65" s="4">
        <f t="shared" si="0"/>
        <v>7.9479166666666856</v>
      </c>
    </row>
    <row r="66" spans="1:1" x14ac:dyDescent="0.2">
      <c r="A66" s="4">
        <f t="shared" si="0"/>
        <v>7.9583333333333526</v>
      </c>
    </row>
    <row r="67" spans="1:1" x14ac:dyDescent="0.2">
      <c r="A67" s="4">
        <f t="shared" si="0"/>
        <v>7.9687500000000195</v>
      </c>
    </row>
    <row r="68" spans="1:1" x14ac:dyDescent="0.2">
      <c r="A68" s="4">
        <f t="shared" ref="A68" si="1">A67+TIME(0,15,0)</f>
        <v>7.9791666666666865</v>
      </c>
    </row>
    <row r="69" spans="1:1" x14ac:dyDescent="0.2">
      <c r="A69" s="4">
        <f t="shared" si="0"/>
        <v>7.9895833333333535</v>
      </c>
    </row>
    <row r="70" spans="1:1" x14ac:dyDescent="0.2">
      <c r="A70" s="4">
        <f t="shared" ref="A70" si="2">A69+TIME(0,15,0)</f>
        <v>8.0000000000000195</v>
      </c>
    </row>
  </sheetData>
  <sortState xmlns:xlrd2="http://schemas.microsoft.com/office/spreadsheetml/2017/richdata2" ref="C2:C25">
    <sortCondition ref="C2:C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QC Sheet</vt:lpstr>
      <vt:lpstr>Variables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Kelvin Hernandez</dc:creator>
  <cp:keywords/>
  <dc:description/>
  <cp:lastModifiedBy>Zach Morrison</cp:lastModifiedBy>
  <cp:revision/>
  <dcterms:created xsi:type="dcterms:W3CDTF">2025-01-09T20:55:10Z</dcterms:created>
  <dcterms:modified xsi:type="dcterms:W3CDTF">2025-12-09T13:43:11Z</dcterms:modified>
  <cp:category/>
  <cp:contentStatus/>
</cp:coreProperties>
</file>